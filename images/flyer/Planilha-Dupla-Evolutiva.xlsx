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drawings/drawing2.xml" ContentType="application/vnd.openxmlformats-officedocument.drawing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harts/chart6.xml" ContentType="application/vnd.openxmlformats-officedocument.drawingml.chart+xml"/>
  <Override PartName="/xl/drawings/drawing9.xml" ContentType="application/vnd.openxmlformats-officedocument.drawing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drawings/drawing11.xml" ContentType="application/vnd.openxmlformats-officedocument.drawing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harts/chart9.xml" ContentType="application/vnd.openxmlformats-officedocument.drawingml.chart+xml"/>
  <Override PartName="/xl/drawings/drawing12.xml" ContentType="application/vnd.openxmlformats-officedocument.drawing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harts/chart12.xml" ContentType="application/vnd.openxmlformats-officedocument.drawingml.chart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1b286e7b92e5b7e/Documentos/autopesquisa-voluntariado-relatorio-2025/images/flyer/"/>
    </mc:Choice>
  </mc:AlternateContent>
  <xr:revisionPtr revIDLastSave="18" documentId="11_241152D7EA12133E832A88082CEA6D92531C49E3" xr6:coauthVersionLast="47" xr6:coauthVersionMax="47" xr10:uidLastSave="{1A75F5F6-05D7-4593-9D0E-C6080ABD1DEB}"/>
  <bookViews>
    <workbookView xWindow="-96" yWindow="-96" windowWidth="19392" windowHeight="11472" tabRatio="950" firstSheet="16" activeTab="18" xr2:uid="{00000000-000D-0000-FFFF-FFFF00000000}"/>
  </bookViews>
  <sheets>
    <sheet name="Orientações" sheetId="15" r:id="rId1"/>
    <sheet name="5 Variáveis Homem" sheetId="17" r:id="rId2"/>
    <sheet name="5 Variáveis Mulher" sheetId="20" r:id="rId3"/>
    <sheet name="Comparativo 5 Variáveis" sheetId="21" r:id="rId4"/>
    <sheet name="50 Categorias Homem" sheetId="18" r:id="rId5"/>
    <sheet name="50 Categorias Mulher" sheetId="24" r:id="rId6"/>
    <sheet name="Comparativo 50 Categorias" sheetId="23" r:id="rId7"/>
    <sheet name="Questionologia" sheetId="19" r:id="rId8"/>
    <sheet name="Autenticidade Afetiva Homem" sheetId="25" r:id="rId9"/>
    <sheet name="Autenticidade Afetiva Mulher" sheetId="28" r:id="rId10"/>
    <sheet name="Comparativo Autent. Afetiva" sheetId="27" r:id="rId11"/>
    <sheet name="Dupla é" sheetId="26" r:id="rId12"/>
    <sheet name="15 Ideias Básicas" sheetId="29" r:id="rId13"/>
    <sheet name="Pontecialidades" sheetId="30" r:id="rId14"/>
    <sheet name="Amor Consciencial Homem" sheetId="32" r:id="rId15"/>
    <sheet name="Amor Consciencial Mulher" sheetId="33" r:id="rId16"/>
    <sheet name="Comparativo Amor Consciencial" sheetId="31" r:id="rId17"/>
    <sheet name="Nível de Consciencialidade" sheetId="34" r:id="rId18"/>
    <sheet name="Questionologia 2 Homem" sheetId="35" r:id="rId19"/>
    <sheet name="Questionologia 2 Mulher" sheetId="36" r:id="rId20"/>
    <sheet name="Sheet1" sheetId="37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9" i="33" l="1"/>
  <c r="E19" i="31" s="1"/>
  <c r="I19" i="31" s="1"/>
  <c r="X18" i="33"/>
  <c r="E18" i="31" s="1"/>
  <c r="I18" i="31" s="1"/>
  <c r="X17" i="33"/>
  <c r="E17" i="31" s="1"/>
  <c r="I17" i="31" s="1"/>
  <c r="X16" i="33"/>
  <c r="E16" i="31" s="1"/>
  <c r="I16" i="31" s="1"/>
  <c r="X15" i="33"/>
  <c r="E15" i="31" s="1"/>
  <c r="I15" i="31" s="1"/>
  <c r="X14" i="33"/>
  <c r="E14" i="31" s="1"/>
  <c r="I14" i="31" s="1"/>
  <c r="X13" i="33"/>
  <c r="E13" i="31" s="1"/>
  <c r="I13" i="31" s="1"/>
  <c r="X12" i="33"/>
  <c r="E12" i="31" s="1"/>
  <c r="I12" i="31" s="1"/>
  <c r="X11" i="33"/>
  <c r="E11" i="31" s="1"/>
  <c r="I11" i="31" s="1"/>
  <c r="X10" i="33"/>
  <c r="E10" i="31" s="1"/>
  <c r="I10" i="31" s="1"/>
  <c r="X9" i="33"/>
  <c r="E9" i="31" s="1"/>
  <c r="I9" i="31" s="1"/>
  <c r="X8" i="33"/>
  <c r="E8" i="31" s="1"/>
  <c r="I8" i="31" s="1"/>
  <c r="X7" i="33"/>
  <c r="E7" i="31" s="1"/>
  <c r="I7" i="31" s="1"/>
  <c r="X6" i="33"/>
  <c r="E6" i="31" s="1"/>
  <c r="I6" i="31" s="1"/>
  <c r="X5" i="33"/>
  <c r="X21" i="33" s="1"/>
  <c r="B43" i="33" s="1"/>
  <c r="X19" i="32"/>
  <c r="C19" i="31" s="1"/>
  <c r="H19" i="31" s="1"/>
  <c r="X18" i="32"/>
  <c r="C18" i="31" s="1"/>
  <c r="H18" i="31" s="1"/>
  <c r="X17" i="32"/>
  <c r="C17" i="31" s="1"/>
  <c r="H17" i="31" s="1"/>
  <c r="X16" i="32"/>
  <c r="C16" i="31" s="1"/>
  <c r="H16" i="31" s="1"/>
  <c r="X15" i="32"/>
  <c r="C15" i="31" s="1"/>
  <c r="H15" i="31" s="1"/>
  <c r="X14" i="32"/>
  <c r="C14" i="31" s="1"/>
  <c r="H14" i="31" s="1"/>
  <c r="X13" i="32"/>
  <c r="C13" i="31" s="1"/>
  <c r="H13" i="31" s="1"/>
  <c r="X12" i="32"/>
  <c r="C12" i="31" s="1"/>
  <c r="H12" i="31" s="1"/>
  <c r="X11" i="32"/>
  <c r="C11" i="31" s="1"/>
  <c r="H11" i="31" s="1"/>
  <c r="X10" i="32"/>
  <c r="C10" i="31" s="1"/>
  <c r="H10" i="31" s="1"/>
  <c r="X9" i="32"/>
  <c r="C9" i="31" s="1"/>
  <c r="H9" i="31" s="1"/>
  <c r="X8" i="32"/>
  <c r="C8" i="31" s="1"/>
  <c r="H8" i="31" s="1"/>
  <c r="X7" i="32"/>
  <c r="C7" i="31" s="1"/>
  <c r="H7" i="31" s="1"/>
  <c r="X6" i="32"/>
  <c r="C6" i="31" s="1"/>
  <c r="H6" i="31" s="1"/>
  <c r="X5" i="32"/>
  <c r="P6" i="30"/>
  <c r="P7" i="30"/>
  <c r="P8" i="30"/>
  <c r="P9" i="30"/>
  <c r="P10" i="30"/>
  <c r="P11" i="30"/>
  <c r="P12" i="30"/>
  <c r="P13" i="30"/>
  <c r="P14" i="30"/>
  <c r="P15" i="30"/>
  <c r="P16" i="30"/>
  <c r="P17" i="30"/>
  <c r="P18" i="30"/>
  <c r="P19" i="30"/>
  <c r="P20" i="30"/>
  <c r="P21" i="30"/>
  <c r="P22" i="30"/>
  <c r="P23" i="30"/>
  <c r="P24" i="30"/>
  <c r="P25" i="30"/>
  <c r="P26" i="30"/>
  <c r="P27" i="30"/>
  <c r="P28" i="30"/>
  <c r="P29" i="30"/>
  <c r="P30" i="30"/>
  <c r="P31" i="30"/>
  <c r="P32" i="30"/>
  <c r="P33" i="30"/>
  <c r="P5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26" i="30"/>
  <c r="G27" i="30"/>
  <c r="G28" i="30"/>
  <c r="G29" i="30"/>
  <c r="G30" i="30"/>
  <c r="G31" i="30"/>
  <c r="G32" i="30"/>
  <c r="G33" i="30"/>
  <c r="G34" i="30"/>
  <c r="G6" i="30"/>
  <c r="G7" i="30"/>
  <c r="G8" i="30"/>
  <c r="G9" i="30"/>
  <c r="G5" i="30"/>
  <c r="C44" i="30"/>
  <c r="C43" i="30"/>
  <c r="X19" i="29"/>
  <c r="X18" i="29"/>
  <c r="X17" i="29"/>
  <c r="X16" i="29"/>
  <c r="X15" i="29"/>
  <c r="X14" i="29"/>
  <c r="X13" i="29"/>
  <c r="X12" i="29"/>
  <c r="X11" i="29"/>
  <c r="X10" i="29"/>
  <c r="X9" i="29"/>
  <c r="X8" i="29"/>
  <c r="X7" i="29"/>
  <c r="X6" i="29"/>
  <c r="X5" i="29"/>
  <c r="D43" i="29" s="1"/>
  <c r="I43" i="26"/>
  <c r="I46" i="26" s="1"/>
  <c r="C43" i="26"/>
  <c r="C46" i="26" s="1"/>
  <c r="C28" i="28"/>
  <c r="E28" i="27" s="1"/>
  <c r="J28" i="27" s="1"/>
  <c r="C27" i="28"/>
  <c r="E27" i="27" s="1"/>
  <c r="C26" i="28"/>
  <c r="E26" i="27" s="1"/>
  <c r="J26" i="27" s="1"/>
  <c r="C25" i="28"/>
  <c r="E25" i="27" s="1"/>
  <c r="J25" i="27" s="1"/>
  <c r="C24" i="28"/>
  <c r="E24" i="27" s="1"/>
  <c r="J24" i="27" s="1"/>
  <c r="C23" i="28"/>
  <c r="E23" i="27" s="1"/>
  <c r="J23" i="27" s="1"/>
  <c r="C22" i="28"/>
  <c r="E22" i="27" s="1"/>
  <c r="J22" i="27" s="1"/>
  <c r="C21" i="28"/>
  <c r="E21" i="27" s="1"/>
  <c r="J21" i="27" s="1"/>
  <c r="C20" i="28"/>
  <c r="E20" i="27" s="1"/>
  <c r="J20" i="27" s="1"/>
  <c r="C19" i="28"/>
  <c r="E19" i="27" s="1"/>
  <c r="J19" i="27" s="1"/>
  <c r="C18" i="28"/>
  <c r="E18" i="27" s="1"/>
  <c r="J18" i="27" s="1"/>
  <c r="C17" i="28"/>
  <c r="E17" i="27" s="1"/>
  <c r="J17" i="27" s="1"/>
  <c r="C16" i="28"/>
  <c r="E16" i="27" s="1"/>
  <c r="J16" i="27" s="1"/>
  <c r="C15" i="28"/>
  <c r="E15" i="27" s="1"/>
  <c r="J15" i="27" s="1"/>
  <c r="C14" i="28"/>
  <c r="E14" i="27" s="1"/>
  <c r="J14" i="27" s="1"/>
  <c r="C13" i="28"/>
  <c r="E13" i="27" s="1"/>
  <c r="J13" i="27" s="1"/>
  <c r="C12" i="28"/>
  <c r="E12" i="27" s="1"/>
  <c r="J12" i="27" s="1"/>
  <c r="C11" i="28"/>
  <c r="E11" i="27" s="1"/>
  <c r="J11" i="27" s="1"/>
  <c r="C10" i="28"/>
  <c r="E10" i="27" s="1"/>
  <c r="J10" i="27" s="1"/>
  <c r="C9" i="28"/>
  <c r="E9" i="27" s="1"/>
  <c r="J9" i="27" s="1"/>
  <c r="C8" i="28"/>
  <c r="E8" i="27" s="1"/>
  <c r="J8" i="27" s="1"/>
  <c r="C7" i="28"/>
  <c r="E7" i="27" s="1"/>
  <c r="J7" i="27" s="1"/>
  <c r="C6" i="28"/>
  <c r="E6" i="27" s="1"/>
  <c r="J6" i="27" s="1"/>
  <c r="C5" i="28"/>
  <c r="E5" i="27" s="1"/>
  <c r="J5" i="27" s="1"/>
  <c r="C4" i="28"/>
  <c r="F30" i="28" s="1"/>
  <c r="C5" i="25"/>
  <c r="C5" i="27" s="1"/>
  <c r="I5" i="27" s="1"/>
  <c r="C6" i="25"/>
  <c r="C6" i="27" s="1"/>
  <c r="I6" i="27" s="1"/>
  <c r="C7" i="25"/>
  <c r="C7" i="27" s="1"/>
  <c r="I7" i="27" s="1"/>
  <c r="C8" i="25"/>
  <c r="C8" i="27" s="1"/>
  <c r="I8" i="27" s="1"/>
  <c r="C9" i="25"/>
  <c r="C9" i="27" s="1"/>
  <c r="I9" i="27" s="1"/>
  <c r="C10" i="25"/>
  <c r="C10" i="27" s="1"/>
  <c r="I10" i="27" s="1"/>
  <c r="C11" i="25"/>
  <c r="C11" i="27" s="1"/>
  <c r="I11" i="27" s="1"/>
  <c r="C12" i="25"/>
  <c r="C12" i="27" s="1"/>
  <c r="I12" i="27" s="1"/>
  <c r="C13" i="25"/>
  <c r="C13" i="27" s="1"/>
  <c r="I13" i="27" s="1"/>
  <c r="C14" i="25"/>
  <c r="C14" i="27" s="1"/>
  <c r="I14" i="27" s="1"/>
  <c r="C15" i="25"/>
  <c r="C15" i="27" s="1"/>
  <c r="I15" i="27" s="1"/>
  <c r="K15" i="27" s="1"/>
  <c r="G15" i="27" s="1"/>
  <c r="C16" i="25"/>
  <c r="C16" i="27" s="1"/>
  <c r="I16" i="27" s="1"/>
  <c r="C17" i="25"/>
  <c r="C17" i="27" s="1"/>
  <c r="I17" i="27" s="1"/>
  <c r="C18" i="25"/>
  <c r="C18" i="27" s="1"/>
  <c r="I18" i="27" s="1"/>
  <c r="C19" i="25"/>
  <c r="C19" i="27" s="1"/>
  <c r="I19" i="27" s="1"/>
  <c r="C20" i="25"/>
  <c r="C20" i="27" s="1"/>
  <c r="I20" i="27" s="1"/>
  <c r="C21" i="25"/>
  <c r="C21" i="27" s="1"/>
  <c r="I21" i="27" s="1"/>
  <c r="C22" i="25"/>
  <c r="C22" i="27" s="1"/>
  <c r="I22" i="27" s="1"/>
  <c r="C23" i="25"/>
  <c r="C23" i="27" s="1"/>
  <c r="I23" i="27" s="1"/>
  <c r="C24" i="25"/>
  <c r="C24" i="27" s="1"/>
  <c r="I24" i="27" s="1"/>
  <c r="C25" i="25"/>
  <c r="C25" i="27" s="1"/>
  <c r="I25" i="27" s="1"/>
  <c r="C26" i="25"/>
  <c r="C26" i="27" s="1"/>
  <c r="I26" i="27" s="1"/>
  <c r="C27" i="25"/>
  <c r="C27" i="27" s="1"/>
  <c r="I27" i="27" s="1"/>
  <c r="C28" i="25"/>
  <c r="C28" i="27" s="1"/>
  <c r="I28" i="27" s="1"/>
  <c r="C4" i="25"/>
  <c r="C4" i="27" s="1"/>
  <c r="I4" i="27" s="1"/>
  <c r="B54" i="23"/>
  <c r="B53" i="23"/>
  <c r="Y6" i="23"/>
  <c r="Y7" i="23"/>
  <c r="Y8" i="23"/>
  <c r="Y9" i="23"/>
  <c r="Y10" i="23"/>
  <c r="Y11" i="23"/>
  <c r="Y12" i="23"/>
  <c r="Y13" i="23"/>
  <c r="Y14" i="23"/>
  <c r="Y15" i="23"/>
  <c r="Y16" i="23"/>
  <c r="Y17" i="23"/>
  <c r="Y18" i="23"/>
  <c r="Y19" i="23"/>
  <c r="Y20" i="23"/>
  <c r="Y21" i="23"/>
  <c r="Y22" i="23"/>
  <c r="Y23" i="23"/>
  <c r="Y24" i="23"/>
  <c r="Y25" i="23"/>
  <c r="Y26" i="23"/>
  <c r="Y27" i="23"/>
  <c r="Y28" i="23"/>
  <c r="Y29" i="23"/>
  <c r="Y5" i="23"/>
  <c r="V6" i="23"/>
  <c r="V7" i="23"/>
  <c r="V8" i="23"/>
  <c r="V9" i="23"/>
  <c r="V10" i="23"/>
  <c r="V11" i="23"/>
  <c r="V12" i="23"/>
  <c r="V13" i="23"/>
  <c r="V14" i="23"/>
  <c r="V15" i="23"/>
  <c r="V16" i="23"/>
  <c r="V17" i="23"/>
  <c r="V18" i="23"/>
  <c r="V19" i="23"/>
  <c r="V20" i="23"/>
  <c r="V21" i="23"/>
  <c r="V22" i="23"/>
  <c r="V23" i="23"/>
  <c r="V24" i="23"/>
  <c r="V25" i="23"/>
  <c r="V26" i="23"/>
  <c r="V27" i="23"/>
  <c r="V28" i="23"/>
  <c r="V29" i="23"/>
  <c r="V5" i="23"/>
  <c r="S6" i="23"/>
  <c r="S7" i="23"/>
  <c r="S8" i="23"/>
  <c r="S9" i="23"/>
  <c r="S10" i="23"/>
  <c r="S11" i="23"/>
  <c r="S12" i="23"/>
  <c r="S13" i="23"/>
  <c r="S14" i="23"/>
  <c r="S15" i="23"/>
  <c r="S16" i="23"/>
  <c r="S17" i="23"/>
  <c r="S18" i="23"/>
  <c r="S19" i="23"/>
  <c r="S20" i="23"/>
  <c r="S21" i="23"/>
  <c r="S22" i="23"/>
  <c r="S23" i="23"/>
  <c r="S24" i="23"/>
  <c r="S25" i="23"/>
  <c r="S26" i="23"/>
  <c r="S27" i="23"/>
  <c r="S28" i="23"/>
  <c r="S29" i="23"/>
  <c r="S5" i="23"/>
  <c r="P6" i="23"/>
  <c r="P7" i="23"/>
  <c r="P8" i="23"/>
  <c r="P9" i="23"/>
  <c r="P10" i="23"/>
  <c r="P11" i="23"/>
  <c r="P12" i="23"/>
  <c r="P13" i="23"/>
  <c r="P14" i="23"/>
  <c r="P15" i="23"/>
  <c r="P16" i="23"/>
  <c r="P17" i="23"/>
  <c r="P18" i="23"/>
  <c r="P19" i="23"/>
  <c r="P20" i="23"/>
  <c r="P21" i="23"/>
  <c r="P22" i="23"/>
  <c r="P23" i="23"/>
  <c r="P24" i="23"/>
  <c r="P25" i="23"/>
  <c r="P26" i="23"/>
  <c r="P27" i="23"/>
  <c r="P28" i="23"/>
  <c r="P29" i="23"/>
  <c r="P5" i="23"/>
  <c r="X6" i="23"/>
  <c r="Z6" i="23" s="1"/>
  <c r="J6" i="23" s="1"/>
  <c r="X7" i="23"/>
  <c r="Z7" i="23" s="1"/>
  <c r="J7" i="23" s="1"/>
  <c r="X8" i="23"/>
  <c r="Z8" i="23" s="1"/>
  <c r="J8" i="23" s="1"/>
  <c r="X9" i="23"/>
  <c r="Z9" i="23" s="1"/>
  <c r="J9" i="23" s="1"/>
  <c r="X10" i="23"/>
  <c r="Z10" i="23" s="1"/>
  <c r="J10" i="23" s="1"/>
  <c r="X11" i="23"/>
  <c r="Z11" i="23" s="1"/>
  <c r="J11" i="23" s="1"/>
  <c r="X12" i="23"/>
  <c r="Z12" i="23" s="1"/>
  <c r="J12" i="23" s="1"/>
  <c r="X13" i="23"/>
  <c r="Z13" i="23" s="1"/>
  <c r="J13" i="23" s="1"/>
  <c r="X14" i="23"/>
  <c r="Z14" i="23" s="1"/>
  <c r="J14" i="23" s="1"/>
  <c r="X15" i="23"/>
  <c r="X16" i="23"/>
  <c r="X17" i="23"/>
  <c r="X18" i="23"/>
  <c r="Z18" i="23" s="1"/>
  <c r="J18" i="23" s="1"/>
  <c r="X19" i="23"/>
  <c r="Z19" i="23" s="1"/>
  <c r="J19" i="23" s="1"/>
  <c r="X20" i="23"/>
  <c r="Z20" i="23" s="1"/>
  <c r="J20" i="23" s="1"/>
  <c r="X21" i="23"/>
  <c r="X22" i="23"/>
  <c r="X23" i="23"/>
  <c r="Z23" i="23" s="1"/>
  <c r="J23" i="23" s="1"/>
  <c r="X24" i="23"/>
  <c r="Z24" i="23" s="1"/>
  <c r="J24" i="23" s="1"/>
  <c r="X25" i="23"/>
  <c r="Z25" i="23" s="1"/>
  <c r="J25" i="23" s="1"/>
  <c r="X26" i="23"/>
  <c r="Z26" i="23" s="1"/>
  <c r="J26" i="23" s="1"/>
  <c r="X27" i="23"/>
  <c r="Z27" i="23" s="1"/>
  <c r="J27" i="23" s="1"/>
  <c r="X28" i="23"/>
  <c r="Z28" i="23" s="1"/>
  <c r="J28" i="23" s="1"/>
  <c r="X29" i="23"/>
  <c r="Z29" i="23" s="1"/>
  <c r="J29" i="23" s="1"/>
  <c r="X5" i="23"/>
  <c r="Z5" i="23" s="1"/>
  <c r="J5" i="23" s="1"/>
  <c r="U6" i="23"/>
  <c r="W6" i="23" s="1"/>
  <c r="H6" i="23" s="1"/>
  <c r="U7" i="23"/>
  <c r="W7" i="23" s="1"/>
  <c r="H7" i="23" s="1"/>
  <c r="U8" i="23"/>
  <c r="W8" i="23" s="1"/>
  <c r="H8" i="23" s="1"/>
  <c r="U9" i="23"/>
  <c r="W9" i="23" s="1"/>
  <c r="H9" i="23" s="1"/>
  <c r="U10" i="23"/>
  <c r="W10" i="23" s="1"/>
  <c r="H10" i="23" s="1"/>
  <c r="U11" i="23"/>
  <c r="W11" i="23" s="1"/>
  <c r="H11" i="23" s="1"/>
  <c r="U12" i="23"/>
  <c r="U13" i="23"/>
  <c r="U14" i="23"/>
  <c r="U15" i="23"/>
  <c r="W15" i="23" s="1"/>
  <c r="H15" i="23" s="1"/>
  <c r="U16" i="23"/>
  <c r="W16" i="23" s="1"/>
  <c r="H16" i="23" s="1"/>
  <c r="U17" i="23"/>
  <c r="W17" i="23" s="1"/>
  <c r="H17" i="23" s="1"/>
  <c r="U18" i="23"/>
  <c r="U19" i="23"/>
  <c r="U20" i="23"/>
  <c r="W20" i="23" s="1"/>
  <c r="H20" i="23" s="1"/>
  <c r="U21" i="23"/>
  <c r="W21" i="23" s="1"/>
  <c r="H21" i="23" s="1"/>
  <c r="U22" i="23"/>
  <c r="W22" i="23" s="1"/>
  <c r="H22" i="23" s="1"/>
  <c r="U23" i="23"/>
  <c r="W23" i="23" s="1"/>
  <c r="H23" i="23" s="1"/>
  <c r="U24" i="23"/>
  <c r="W24" i="23" s="1"/>
  <c r="H24" i="23" s="1"/>
  <c r="U25" i="23"/>
  <c r="W25" i="23" s="1"/>
  <c r="H25" i="23" s="1"/>
  <c r="U26" i="23"/>
  <c r="W26" i="23" s="1"/>
  <c r="H26" i="23" s="1"/>
  <c r="U27" i="23"/>
  <c r="W27" i="23" s="1"/>
  <c r="H27" i="23" s="1"/>
  <c r="U28" i="23"/>
  <c r="W28" i="23" s="1"/>
  <c r="H28" i="23" s="1"/>
  <c r="U29" i="23"/>
  <c r="W29" i="23" s="1"/>
  <c r="H29" i="23" s="1"/>
  <c r="U5" i="23"/>
  <c r="W5" i="23" s="1"/>
  <c r="H5" i="23" s="1"/>
  <c r="R6" i="23"/>
  <c r="T6" i="23" s="1"/>
  <c r="E6" i="23" s="1"/>
  <c r="R7" i="23"/>
  <c r="T7" i="23" s="1"/>
  <c r="E7" i="23" s="1"/>
  <c r="R8" i="23"/>
  <c r="T8" i="23" s="1"/>
  <c r="E8" i="23" s="1"/>
  <c r="R9" i="23"/>
  <c r="R10" i="23"/>
  <c r="R11" i="23"/>
  <c r="R12" i="23"/>
  <c r="T12" i="23" s="1"/>
  <c r="E12" i="23" s="1"/>
  <c r="R13" i="23"/>
  <c r="T13" i="23" s="1"/>
  <c r="E13" i="23" s="1"/>
  <c r="R14" i="23"/>
  <c r="T14" i="23" s="1"/>
  <c r="E14" i="23" s="1"/>
  <c r="R15" i="23"/>
  <c r="R16" i="23"/>
  <c r="R17" i="23"/>
  <c r="T17" i="23" s="1"/>
  <c r="E17" i="23" s="1"/>
  <c r="R18" i="23"/>
  <c r="T18" i="23" s="1"/>
  <c r="E18" i="23" s="1"/>
  <c r="R19" i="23"/>
  <c r="T19" i="23" s="1"/>
  <c r="E19" i="23" s="1"/>
  <c r="R20" i="23"/>
  <c r="T20" i="23" s="1"/>
  <c r="E20" i="23" s="1"/>
  <c r="R21" i="23"/>
  <c r="T21" i="23" s="1"/>
  <c r="E21" i="23" s="1"/>
  <c r="R22" i="23"/>
  <c r="T22" i="23" s="1"/>
  <c r="E22" i="23" s="1"/>
  <c r="R23" i="23"/>
  <c r="T23" i="23" s="1"/>
  <c r="E23" i="23" s="1"/>
  <c r="R24" i="23"/>
  <c r="T24" i="23" s="1"/>
  <c r="E24" i="23" s="1"/>
  <c r="R25" i="23"/>
  <c r="T25" i="23" s="1"/>
  <c r="E25" i="23" s="1"/>
  <c r="R26" i="23"/>
  <c r="T26" i="23" s="1"/>
  <c r="E26" i="23" s="1"/>
  <c r="R27" i="23"/>
  <c r="T27" i="23" s="1"/>
  <c r="E27" i="23" s="1"/>
  <c r="R28" i="23"/>
  <c r="T28" i="23" s="1"/>
  <c r="E28" i="23" s="1"/>
  <c r="R29" i="23"/>
  <c r="T29" i="23" s="1"/>
  <c r="E29" i="23" s="1"/>
  <c r="R5" i="23"/>
  <c r="T5" i="23" s="1"/>
  <c r="E5" i="23" s="1"/>
  <c r="O6" i="23"/>
  <c r="O7" i="23"/>
  <c r="O8" i="23"/>
  <c r="O9" i="23"/>
  <c r="Q9" i="23" s="1"/>
  <c r="C9" i="23" s="1"/>
  <c r="O10" i="23"/>
  <c r="Q10" i="23" s="1"/>
  <c r="C10" i="23" s="1"/>
  <c r="O11" i="23"/>
  <c r="Q11" i="23" s="1"/>
  <c r="C11" i="23" s="1"/>
  <c r="O12" i="23"/>
  <c r="O13" i="23"/>
  <c r="O14" i="23"/>
  <c r="Q14" i="23" s="1"/>
  <c r="C14" i="23" s="1"/>
  <c r="O15" i="23"/>
  <c r="Q15" i="23" s="1"/>
  <c r="C15" i="23" s="1"/>
  <c r="O16" i="23"/>
  <c r="Q16" i="23" s="1"/>
  <c r="C16" i="23" s="1"/>
  <c r="O17" i="23"/>
  <c r="Q17" i="23" s="1"/>
  <c r="C17" i="23" s="1"/>
  <c r="O18" i="23"/>
  <c r="Q18" i="23" s="1"/>
  <c r="C18" i="23" s="1"/>
  <c r="O19" i="23"/>
  <c r="Q19" i="23" s="1"/>
  <c r="C19" i="23" s="1"/>
  <c r="O20" i="23"/>
  <c r="Q20" i="23" s="1"/>
  <c r="C20" i="23" s="1"/>
  <c r="O21" i="23"/>
  <c r="Q21" i="23" s="1"/>
  <c r="C21" i="23" s="1"/>
  <c r="O22" i="23"/>
  <c r="Q22" i="23" s="1"/>
  <c r="C22" i="23" s="1"/>
  <c r="O23" i="23"/>
  <c r="Q23" i="23" s="1"/>
  <c r="C23" i="23" s="1"/>
  <c r="O24" i="23"/>
  <c r="Q24" i="23" s="1"/>
  <c r="C24" i="23" s="1"/>
  <c r="O25" i="23"/>
  <c r="Q25" i="23" s="1"/>
  <c r="C25" i="23" s="1"/>
  <c r="O26" i="23"/>
  <c r="Q26" i="23" s="1"/>
  <c r="C26" i="23" s="1"/>
  <c r="O27" i="23"/>
  <c r="Q27" i="23" s="1"/>
  <c r="C27" i="23" s="1"/>
  <c r="O28" i="23"/>
  <c r="O29" i="23"/>
  <c r="O5" i="23"/>
  <c r="O44" i="24"/>
  <c r="O43" i="24"/>
  <c r="E58" i="21"/>
  <c r="I58" i="21" s="1"/>
  <c r="K58" i="21" s="1"/>
  <c r="E57" i="21"/>
  <c r="I57" i="21" s="1"/>
  <c r="K57" i="21" s="1"/>
  <c r="E56" i="21"/>
  <c r="I56" i="21" s="1"/>
  <c r="K56" i="21" s="1"/>
  <c r="E55" i="21"/>
  <c r="I55" i="21" s="1"/>
  <c r="K55" i="21" s="1"/>
  <c r="E54" i="21"/>
  <c r="I54" i="21" s="1"/>
  <c r="K54" i="21" s="1"/>
  <c r="E53" i="21"/>
  <c r="I53" i="21" s="1"/>
  <c r="K53" i="21" s="1"/>
  <c r="E52" i="21"/>
  <c r="I52" i="21" s="1"/>
  <c r="K52" i="21" s="1"/>
  <c r="E51" i="21"/>
  <c r="I51" i="21" s="1"/>
  <c r="K51" i="21" s="1"/>
  <c r="E50" i="21"/>
  <c r="I50" i="21" s="1"/>
  <c r="K50" i="21" s="1"/>
  <c r="E49" i="21"/>
  <c r="I49" i="21" s="1"/>
  <c r="K49" i="21" s="1"/>
  <c r="E48" i="21"/>
  <c r="I48" i="21" s="1"/>
  <c r="K48" i="21" s="1"/>
  <c r="E47" i="21"/>
  <c r="I47" i="21" s="1"/>
  <c r="K47" i="21" s="1"/>
  <c r="E46" i="21"/>
  <c r="I46" i="21" s="1"/>
  <c r="K46" i="21" s="1"/>
  <c r="E45" i="21"/>
  <c r="I45" i="21" s="1"/>
  <c r="K45" i="21" s="1"/>
  <c r="E44" i="21"/>
  <c r="I44" i="21" s="1"/>
  <c r="K44" i="21" s="1"/>
  <c r="E43" i="21"/>
  <c r="I43" i="21" s="1"/>
  <c r="K43" i="21" s="1"/>
  <c r="E42" i="21"/>
  <c r="I42" i="21" s="1"/>
  <c r="K42" i="21" s="1"/>
  <c r="E41" i="21"/>
  <c r="I41" i="21" s="1"/>
  <c r="K41" i="21" s="1"/>
  <c r="E40" i="21"/>
  <c r="I40" i="21" s="1"/>
  <c r="K40" i="21" s="1"/>
  <c r="E39" i="21"/>
  <c r="I39" i="21" s="1"/>
  <c r="K39" i="21" s="1"/>
  <c r="E38" i="21"/>
  <c r="I38" i="21" s="1"/>
  <c r="K38" i="21" s="1"/>
  <c r="E37" i="21"/>
  <c r="I37" i="21" s="1"/>
  <c r="K37" i="21" s="1"/>
  <c r="E36" i="21"/>
  <c r="I36" i="21" s="1"/>
  <c r="K36" i="21" s="1"/>
  <c r="E35" i="21"/>
  <c r="I35" i="21" s="1"/>
  <c r="K35" i="21" s="1"/>
  <c r="E34" i="21"/>
  <c r="I34" i="21" s="1"/>
  <c r="K34" i="21" s="1"/>
  <c r="E33" i="21"/>
  <c r="I33" i="21" s="1"/>
  <c r="K33" i="21" s="1"/>
  <c r="E32" i="21"/>
  <c r="I32" i="21" s="1"/>
  <c r="K32" i="21" s="1"/>
  <c r="E31" i="21"/>
  <c r="I31" i="21" s="1"/>
  <c r="K31" i="21" s="1"/>
  <c r="E30" i="21"/>
  <c r="I30" i="21" s="1"/>
  <c r="K30" i="21" s="1"/>
  <c r="E29" i="21"/>
  <c r="I29" i="21" s="1"/>
  <c r="K29" i="21" s="1"/>
  <c r="E28" i="21"/>
  <c r="I28" i="21" s="1"/>
  <c r="K28" i="21" s="1"/>
  <c r="E27" i="21"/>
  <c r="I27" i="21" s="1"/>
  <c r="K27" i="21" s="1"/>
  <c r="E26" i="21"/>
  <c r="I26" i="21" s="1"/>
  <c r="K26" i="21" s="1"/>
  <c r="E25" i="21"/>
  <c r="I25" i="21" s="1"/>
  <c r="K25" i="21" s="1"/>
  <c r="E24" i="21"/>
  <c r="I24" i="21" s="1"/>
  <c r="K24" i="21" s="1"/>
  <c r="E23" i="21"/>
  <c r="I23" i="21" s="1"/>
  <c r="K23" i="21" s="1"/>
  <c r="E22" i="21"/>
  <c r="I22" i="21" s="1"/>
  <c r="K22" i="21" s="1"/>
  <c r="E21" i="21"/>
  <c r="I21" i="21" s="1"/>
  <c r="K21" i="21" s="1"/>
  <c r="E20" i="21"/>
  <c r="I20" i="21" s="1"/>
  <c r="K20" i="21" s="1"/>
  <c r="E19" i="21"/>
  <c r="I19" i="21" s="1"/>
  <c r="K19" i="21" s="1"/>
  <c r="E18" i="21"/>
  <c r="I18" i="21" s="1"/>
  <c r="K18" i="21" s="1"/>
  <c r="E17" i="21"/>
  <c r="I17" i="21" s="1"/>
  <c r="K17" i="21" s="1"/>
  <c r="E16" i="21"/>
  <c r="I16" i="21" s="1"/>
  <c r="K16" i="21" s="1"/>
  <c r="E15" i="21"/>
  <c r="I15" i="21" s="1"/>
  <c r="K15" i="21" s="1"/>
  <c r="E14" i="21"/>
  <c r="I14" i="21" s="1"/>
  <c r="K14" i="21" s="1"/>
  <c r="E13" i="21"/>
  <c r="I13" i="21" s="1"/>
  <c r="K13" i="21" s="1"/>
  <c r="E12" i="21"/>
  <c r="I12" i="21" s="1"/>
  <c r="K12" i="21" s="1"/>
  <c r="E11" i="21"/>
  <c r="I11" i="21" s="1"/>
  <c r="K11" i="21" s="1"/>
  <c r="E10" i="21"/>
  <c r="I10" i="21" s="1"/>
  <c r="K10" i="21" s="1"/>
  <c r="E9" i="21"/>
  <c r="I9" i="21" s="1"/>
  <c r="K9" i="21" s="1"/>
  <c r="E8" i="21"/>
  <c r="I8" i="21" s="1"/>
  <c r="K8" i="21" s="1"/>
  <c r="E7" i="21"/>
  <c r="I7" i="21" s="1"/>
  <c r="K7" i="21" s="1"/>
  <c r="E6" i="21"/>
  <c r="I6" i="21" s="1"/>
  <c r="K6" i="21" s="1"/>
  <c r="E5" i="21"/>
  <c r="I5" i="21" s="1"/>
  <c r="K5" i="21" s="1"/>
  <c r="E4" i="21"/>
  <c r="I4" i="21" s="1"/>
  <c r="K4" i="21" s="1"/>
  <c r="C58" i="21"/>
  <c r="H58" i="21" s="1"/>
  <c r="J58" i="21" s="1"/>
  <c r="C57" i="21"/>
  <c r="H57" i="21" s="1"/>
  <c r="J57" i="21" s="1"/>
  <c r="L57" i="21" s="1"/>
  <c r="M57" i="21" s="1"/>
  <c r="C56" i="21"/>
  <c r="H56" i="21" s="1"/>
  <c r="J56" i="21" s="1"/>
  <c r="L56" i="21" s="1"/>
  <c r="M56" i="21" s="1"/>
  <c r="C55" i="21"/>
  <c r="H55" i="21" s="1"/>
  <c r="J55" i="21" s="1"/>
  <c r="L55" i="21" s="1"/>
  <c r="M55" i="21" s="1"/>
  <c r="C54" i="21"/>
  <c r="H54" i="21" s="1"/>
  <c r="J54" i="21" s="1"/>
  <c r="L54" i="21" s="1"/>
  <c r="M54" i="21" s="1"/>
  <c r="C53" i="21"/>
  <c r="H53" i="21" s="1"/>
  <c r="J53" i="21" s="1"/>
  <c r="C52" i="21"/>
  <c r="H52" i="21" s="1"/>
  <c r="J52" i="21" s="1"/>
  <c r="C51" i="21"/>
  <c r="H51" i="21" s="1"/>
  <c r="J51" i="21" s="1"/>
  <c r="C50" i="21"/>
  <c r="H50" i="21" s="1"/>
  <c r="J50" i="21" s="1"/>
  <c r="C49" i="21"/>
  <c r="H49" i="21" s="1"/>
  <c r="J49" i="21" s="1"/>
  <c r="C48" i="21"/>
  <c r="H48" i="21" s="1"/>
  <c r="J48" i="21" s="1"/>
  <c r="C47" i="21"/>
  <c r="H47" i="21" s="1"/>
  <c r="J47" i="21" s="1"/>
  <c r="L47" i="21" s="1"/>
  <c r="M47" i="21" s="1"/>
  <c r="C46" i="21"/>
  <c r="H46" i="21" s="1"/>
  <c r="J46" i="21" s="1"/>
  <c r="C45" i="21"/>
  <c r="H45" i="21" s="1"/>
  <c r="J45" i="21" s="1"/>
  <c r="C44" i="21"/>
  <c r="H44" i="21" s="1"/>
  <c r="J44" i="21" s="1"/>
  <c r="C43" i="21"/>
  <c r="H43" i="21" s="1"/>
  <c r="J43" i="21" s="1"/>
  <c r="C42" i="21"/>
  <c r="H42" i="21" s="1"/>
  <c r="J42" i="21" s="1"/>
  <c r="L42" i="21" s="1"/>
  <c r="M42" i="21" s="1"/>
  <c r="C41" i="21"/>
  <c r="H41" i="21" s="1"/>
  <c r="J41" i="21" s="1"/>
  <c r="C40" i="21"/>
  <c r="H40" i="21" s="1"/>
  <c r="J40" i="21" s="1"/>
  <c r="L40" i="21" s="1"/>
  <c r="M40" i="21" s="1"/>
  <c r="C39" i="21"/>
  <c r="H39" i="21" s="1"/>
  <c r="J39" i="21" s="1"/>
  <c r="L39" i="21" s="1"/>
  <c r="M39" i="21" s="1"/>
  <c r="C38" i="21"/>
  <c r="H38" i="21" s="1"/>
  <c r="J38" i="21" s="1"/>
  <c r="L38" i="21" s="1"/>
  <c r="M38" i="21" s="1"/>
  <c r="C37" i="21"/>
  <c r="H37" i="21" s="1"/>
  <c r="J37" i="21" s="1"/>
  <c r="L37" i="21" s="1"/>
  <c r="M37" i="21" s="1"/>
  <c r="C36" i="21"/>
  <c r="H36" i="21" s="1"/>
  <c r="J36" i="21" s="1"/>
  <c r="L36" i="21" s="1"/>
  <c r="M36" i="21" s="1"/>
  <c r="C35" i="21"/>
  <c r="H35" i="21" s="1"/>
  <c r="J35" i="21" s="1"/>
  <c r="L35" i="21" s="1"/>
  <c r="M35" i="21" s="1"/>
  <c r="C34" i="21"/>
  <c r="H34" i="21" s="1"/>
  <c r="J34" i="21" s="1"/>
  <c r="L34" i="21" s="1"/>
  <c r="M34" i="21" s="1"/>
  <c r="C32" i="21"/>
  <c r="H32" i="21" s="1"/>
  <c r="J32" i="21" s="1"/>
  <c r="L32" i="21" s="1"/>
  <c r="M32" i="21" s="1"/>
  <c r="C31" i="21"/>
  <c r="H31" i="21" s="1"/>
  <c r="J31" i="21" s="1"/>
  <c r="C30" i="21"/>
  <c r="H30" i="21" s="1"/>
  <c r="J30" i="21" s="1"/>
  <c r="C29" i="21"/>
  <c r="H29" i="21" s="1"/>
  <c r="J29" i="21" s="1"/>
  <c r="C28" i="21"/>
  <c r="H28" i="21" s="1"/>
  <c r="J28" i="21" s="1"/>
  <c r="C27" i="21"/>
  <c r="H27" i="21" s="1"/>
  <c r="J27" i="21" s="1"/>
  <c r="C26" i="21"/>
  <c r="H26" i="21" s="1"/>
  <c r="J26" i="21" s="1"/>
  <c r="C25" i="21"/>
  <c r="H25" i="21" s="1"/>
  <c r="J25" i="21" s="1"/>
  <c r="C24" i="21"/>
  <c r="H24" i="21" s="1"/>
  <c r="J24" i="21" s="1"/>
  <c r="C23" i="21"/>
  <c r="H23" i="21" s="1"/>
  <c r="J23" i="21" s="1"/>
  <c r="C22" i="21"/>
  <c r="H22" i="21" s="1"/>
  <c r="J22" i="21" s="1"/>
  <c r="C21" i="21"/>
  <c r="H21" i="21" s="1"/>
  <c r="J21" i="21" s="1"/>
  <c r="C20" i="21"/>
  <c r="H20" i="21" s="1"/>
  <c r="J20" i="21" s="1"/>
  <c r="L20" i="21" s="1"/>
  <c r="M20" i="21" s="1"/>
  <c r="C19" i="21"/>
  <c r="H19" i="21" s="1"/>
  <c r="J19" i="21" s="1"/>
  <c r="L19" i="21" s="1"/>
  <c r="M19" i="21" s="1"/>
  <c r="C18" i="21"/>
  <c r="H18" i="21" s="1"/>
  <c r="J18" i="21" s="1"/>
  <c r="L18" i="21" s="1"/>
  <c r="M18" i="21" s="1"/>
  <c r="C17" i="21"/>
  <c r="H17" i="21" s="1"/>
  <c r="J17" i="21" s="1"/>
  <c r="L17" i="21" s="1"/>
  <c r="M17" i="21" s="1"/>
  <c r="C16" i="21"/>
  <c r="H16" i="21" s="1"/>
  <c r="J16" i="21" s="1"/>
  <c r="C15" i="21"/>
  <c r="H15" i="21" s="1"/>
  <c r="J15" i="21" s="1"/>
  <c r="C14" i="21"/>
  <c r="H14" i="21" s="1"/>
  <c r="J14" i="21" s="1"/>
  <c r="C13" i="21"/>
  <c r="H13" i="21" s="1"/>
  <c r="J13" i="21" s="1"/>
  <c r="L13" i="21" s="1"/>
  <c r="M13" i="21" s="1"/>
  <c r="C12" i="21"/>
  <c r="H12" i="21" s="1"/>
  <c r="J12" i="21" s="1"/>
  <c r="L12" i="21" s="1"/>
  <c r="M12" i="21" s="1"/>
  <c r="C11" i="21"/>
  <c r="H11" i="21" s="1"/>
  <c r="J11" i="21" s="1"/>
  <c r="C10" i="21"/>
  <c r="H10" i="21" s="1"/>
  <c r="J10" i="21" s="1"/>
  <c r="C9" i="21"/>
  <c r="H9" i="21" s="1"/>
  <c r="J9" i="21" s="1"/>
  <c r="C8" i="21"/>
  <c r="H8" i="21" s="1"/>
  <c r="J8" i="21" s="1"/>
  <c r="C7" i="21"/>
  <c r="H7" i="21" s="1"/>
  <c r="J7" i="21" s="1"/>
  <c r="C6" i="21"/>
  <c r="H6" i="21" s="1"/>
  <c r="J6" i="21" s="1"/>
  <c r="C33" i="21"/>
  <c r="H33" i="21" s="1"/>
  <c r="J33" i="21" s="1"/>
  <c r="C5" i="21"/>
  <c r="H5" i="21" s="1"/>
  <c r="J5" i="21" s="1"/>
  <c r="C4" i="21"/>
  <c r="H4" i="21" s="1"/>
  <c r="J4" i="21" s="1"/>
  <c r="H54" i="18"/>
  <c r="H53" i="18"/>
  <c r="L41" i="21" l="1"/>
  <c r="M41" i="21" s="1"/>
  <c r="L43" i="21"/>
  <c r="M43" i="21" s="1"/>
  <c r="L21" i="21"/>
  <c r="M21" i="21" s="1"/>
  <c r="L22" i="21"/>
  <c r="M22" i="21" s="1"/>
  <c r="L45" i="21"/>
  <c r="M45" i="21" s="1"/>
  <c r="Q13" i="23"/>
  <c r="C13" i="23" s="1"/>
  <c r="T16" i="23"/>
  <c r="E16" i="23" s="1"/>
  <c r="W19" i="23"/>
  <c r="H19" i="23" s="1"/>
  <c r="Z22" i="23"/>
  <c r="J22" i="23" s="1"/>
  <c r="L44" i="21"/>
  <c r="M44" i="21" s="1"/>
  <c r="L23" i="21"/>
  <c r="M23" i="21" s="1"/>
  <c r="L46" i="21"/>
  <c r="M46" i="21" s="1"/>
  <c r="Q12" i="23"/>
  <c r="C12" i="23" s="1"/>
  <c r="T15" i="23"/>
  <c r="E15" i="23" s="1"/>
  <c r="W18" i="23"/>
  <c r="H18" i="23" s="1"/>
  <c r="Z21" i="23"/>
  <c r="J21" i="23" s="1"/>
  <c r="L48" i="21"/>
  <c r="M48" i="21" s="1"/>
  <c r="L26" i="21"/>
  <c r="M26" i="21" s="1"/>
  <c r="L49" i="21"/>
  <c r="M49" i="21" s="1"/>
  <c r="L33" i="21"/>
  <c r="M33" i="21" s="1"/>
  <c r="L27" i="21"/>
  <c r="M27" i="21" s="1"/>
  <c r="L50" i="21"/>
  <c r="M50" i="21" s="1"/>
  <c r="Q8" i="23"/>
  <c r="C8" i="23" s="1"/>
  <c r="T11" i="23"/>
  <c r="E11" i="23" s="1"/>
  <c r="W14" i="23"/>
  <c r="H14" i="23" s="1"/>
  <c r="Z17" i="23"/>
  <c r="J17" i="23" s="1"/>
  <c r="L24" i="21"/>
  <c r="M24" i="21" s="1"/>
  <c r="L25" i="21"/>
  <c r="M25" i="21" s="1"/>
  <c r="L5" i="21"/>
  <c r="M5" i="21" s="1"/>
  <c r="L6" i="21"/>
  <c r="M6" i="21" s="1"/>
  <c r="L28" i="21"/>
  <c r="M28" i="21" s="1"/>
  <c r="L51" i="21"/>
  <c r="M51" i="21" s="1"/>
  <c r="Q29" i="23"/>
  <c r="C29" i="23" s="1"/>
  <c r="Q7" i="23"/>
  <c r="C7" i="23" s="1"/>
  <c r="T10" i="23"/>
  <c r="E10" i="23" s="1"/>
  <c r="W13" i="23"/>
  <c r="H13" i="23" s="1"/>
  <c r="Z16" i="23"/>
  <c r="J16" i="23" s="1"/>
  <c r="Q28" i="23"/>
  <c r="C28" i="23" s="1"/>
  <c r="Q6" i="23"/>
  <c r="C6" i="23" s="1"/>
  <c r="T9" i="23"/>
  <c r="E9" i="23" s="1"/>
  <c r="W12" i="23"/>
  <c r="H12" i="23" s="1"/>
  <c r="Z15" i="23"/>
  <c r="J15" i="23" s="1"/>
  <c r="X21" i="32"/>
  <c r="B43" i="32" s="1"/>
  <c r="L7" i="21"/>
  <c r="M7" i="21" s="1"/>
  <c r="L29" i="21"/>
  <c r="M29" i="21" s="1"/>
  <c r="L52" i="21"/>
  <c r="M52" i="21" s="1"/>
  <c r="L8" i="21"/>
  <c r="M8" i="21" s="1"/>
  <c r="L30" i="21"/>
  <c r="M30" i="21" s="1"/>
  <c r="L53" i="21"/>
  <c r="M53" i="21" s="1"/>
  <c r="L9" i="21"/>
  <c r="M9" i="21" s="1"/>
  <c r="L31" i="21"/>
  <c r="M31" i="21" s="1"/>
  <c r="L58" i="21"/>
  <c r="M58" i="21" s="1"/>
  <c r="E5" i="31"/>
  <c r="I5" i="31" s="1"/>
  <c r="J19" i="31"/>
  <c r="G19" i="31" s="1"/>
  <c r="J18" i="31"/>
  <c r="G18" i="31" s="1"/>
  <c r="J17" i="31"/>
  <c r="G17" i="31" s="1"/>
  <c r="J16" i="31"/>
  <c r="G16" i="31" s="1"/>
  <c r="J15" i="31"/>
  <c r="G15" i="31" s="1"/>
  <c r="J14" i="31"/>
  <c r="G14" i="31" s="1"/>
  <c r="J13" i="31"/>
  <c r="G13" i="31" s="1"/>
  <c r="J12" i="31"/>
  <c r="G12" i="31" s="1"/>
  <c r="J11" i="31"/>
  <c r="G11" i="31" s="1"/>
  <c r="J10" i="31"/>
  <c r="G10" i="31" s="1"/>
  <c r="J9" i="31"/>
  <c r="G9" i="31" s="1"/>
  <c r="J8" i="31"/>
  <c r="G8" i="31" s="1"/>
  <c r="J7" i="31"/>
  <c r="G7" i="31" s="1"/>
  <c r="J6" i="31"/>
  <c r="G6" i="31" s="1"/>
  <c r="X21" i="29"/>
  <c r="B43" i="29" s="1"/>
  <c r="K28" i="27"/>
  <c r="G28" i="27" s="1"/>
  <c r="K26" i="27"/>
  <c r="G26" i="27" s="1"/>
  <c r="K25" i="27"/>
  <c r="G25" i="27" s="1"/>
  <c r="K24" i="27"/>
  <c r="G24" i="27" s="1"/>
  <c r="K23" i="27"/>
  <c r="G23" i="27" s="1"/>
  <c r="K22" i="27"/>
  <c r="G22" i="27" s="1"/>
  <c r="K21" i="27"/>
  <c r="G21" i="27" s="1"/>
  <c r="K20" i="27"/>
  <c r="G20" i="27" s="1"/>
  <c r="K6" i="27"/>
  <c r="G6" i="27" s="1"/>
  <c r="K19" i="27"/>
  <c r="G19" i="27" s="1"/>
  <c r="K18" i="27"/>
  <c r="G18" i="27" s="1"/>
  <c r="K17" i="27"/>
  <c r="G17" i="27" s="1"/>
  <c r="K16" i="27"/>
  <c r="G16" i="27" s="1"/>
  <c r="K14" i="27"/>
  <c r="G14" i="27" s="1"/>
  <c r="K13" i="27"/>
  <c r="G13" i="27" s="1"/>
  <c r="K11" i="27"/>
  <c r="G11" i="27" s="1"/>
  <c r="K12" i="27"/>
  <c r="G12" i="27" s="1"/>
  <c r="K10" i="27"/>
  <c r="G10" i="27" s="1"/>
  <c r="K9" i="27"/>
  <c r="G9" i="27" s="1"/>
  <c r="K8" i="27"/>
  <c r="G8" i="27" s="1"/>
  <c r="K7" i="27"/>
  <c r="G7" i="27" s="1"/>
  <c r="K5" i="27"/>
  <c r="G5" i="27" s="1"/>
  <c r="E21" i="31"/>
  <c r="C5" i="31"/>
  <c r="J27" i="27"/>
  <c r="K27" i="27" s="1"/>
  <c r="G27" i="27" s="1"/>
  <c r="E4" i="27"/>
  <c r="F31" i="28"/>
  <c r="C30" i="28"/>
  <c r="F30" i="25"/>
  <c r="Q5" i="23"/>
  <c r="L10" i="21"/>
  <c r="M10" i="21" s="1"/>
  <c r="L11" i="21"/>
  <c r="M11" i="21" s="1"/>
  <c r="L15" i="21"/>
  <c r="M15" i="21" s="1"/>
  <c r="L16" i="21"/>
  <c r="M16" i="21" s="1"/>
  <c r="L14" i="21"/>
  <c r="M14" i="21" s="1"/>
  <c r="L4" i="21"/>
  <c r="M4" i="21" s="1"/>
  <c r="C57" i="23" l="1"/>
  <c r="C5" i="23"/>
  <c r="C56" i="23" s="1"/>
  <c r="H5" i="31"/>
  <c r="J5" i="31" s="1"/>
  <c r="G5" i="31" s="1"/>
  <c r="C21" i="31"/>
  <c r="E80" i="21"/>
  <c r="J4" i="27"/>
  <c r="K4" i="27" s="1"/>
  <c r="G4" i="27" s="1"/>
  <c r="D35" i="27" s="1"/>
  <c r="D36" i="27" s="1"/>
  <c r="F31" i="25"/>
  <c r="C30" i="25"/>
  <c r="C53" i="23" l="1"/>
  <c r="E81" i="21"/>
  <c r="C54" i="23" s="1"/>
  <c r="C58" i="23"/>
  <c r="D57" i="23" s="1"/>
  <c r="C55" i="23"/>
  <c r="D54" i="23" s="1"/>
  <c r="D53" i="23"/>
  <c r="D56" i="2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FLAVIO</author>
  </authors>
  <commentList>
    <comment ref="C5" authorId="0" shapeId="0" xr:uid="{00000000-0006-0000-0400-000001000000}">
      <text>
        <r>
          <rPr>
            <sz val="8"/>
            <color indexed="81"/>
            <rFont val="Tahoma"/>
            <family val="2"/>
          </rPr>
          <t>Marque "x"</t>
        </r>
        <r>
          <rPr>
            <sz val="8"/>
            <color indexed="81"/>
            <rFont val="Tahoma"/>
            <charset val="1"/>
          </rPr>
          <t xml:space="preserve">
</t>
        </r>
      </text>
    </comment>
    <comment ref="E5" authorId="0" shapeId="0" xr:uid="{00000000-0006-0000-0400-000002000000}">
      <text>
        <r>
          <rPr>
            <sz val="8"/>
            <color indexed="81"/>
            <rFont val="Tahoma"/>
            <family val="2"/>
          </rPr>
          <t xml:space="preserve">Marque "x"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FLAVIO</author>
  </authors>
  <commentList>
    <comment ref="C5" authorId="0" shapeId="0" xr:uid="{00000000-0006-0000-0500-000001000000}">
      <text>
        <r>
          <rPr>
            <sz val="8"/>
            <color indexed="81"/>
            <rFont val="Tahoma"/>
            <family val="2"/>
          </rPr>
          <t>Marque "x"</t>
        </r>
        <r>
          <rPr>
            <sz val="8"/>
            <color indexed="81"/>
            <rFont val="Tahoma"/>
            <charset val="1"/>
          </rPr>
          <t xml:space="preserve">
</t>
        </r>
      </text>
    </comment>
    <comment ref="E5" authorId="0" shapeId="0" xr:uid="{00000000-0006-0000-0500-000002000000}">
      <text>
        <r>
          <rPr>
            <sz val="8"/>
            <color indexed="81"/>
            <rFont val="Tahoma"/>
            <family val="2"/>
          </rPr>
          <t xml:space="preserve">Marque "x"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FLAVIO</author>
  </authors>
  <commentList>
    <comment ref="A5" authorId="0" shapeId="0" xr:uid="{00000000-0006-0000-1100-000001000000}">
      <text>
        <r>
          <rPr>
            <sz val="8"/>
            <color indexed="81"/>
            <rFont val="Tahoma"/>
            <family val="2"/>
          </rPr>
          <t xml:space="preserve">Módulos: a inteligência prática, intuitiva, concreta, abstrata, analítica ou sintética.
</t>
        </r>
      </text>
    </comment>
    <comment ref="A11" authorId="0" shapeId="0" xr:uid="{00000000-0006-0000-1100-000002000000}">
      <text>
        <r>
          <rPr>
            <sz val="8"/>
            <color indexed="81"/>
            <rFont val="Tahoma"/>
            <family val="2"/>
          </rPr>
          <t>Ser CABEÇA da Dupla Evolutiva implica em responsabilidade maior dentro da convivência a dois.</t>
        </r>
      </text>
    </comment>
  </commentList>
</comments>
</file>

<file path=xl/sharedStrings.xml><?xml version="1.0" encoding="utf-8"?>
<sst xmlns="http://schemas.openxmlformats.org/spreadsheetml/2006/main" count="1159" uniqueCount="547">
  <si>
    <t>Tipo</t>
  </si>
  <si>
    <t>Apatia laboral</t>
  </si>
  <si>
    <t>Vigor laboral</t>
  </si>
  <si>
    <t>Variável</t>
  </si>
  <si>
    <t>Histórico</t>
  </si>
  <si>
    <t xml:space="preserve">Apatia laboral   </t>
  </si>
  <si>
    <t xml:space="preserve">Vigor laboral   </t>
  </si>
  <si>
    <t>Variável predominante</t>
  </si>
  <si>
    <t>Temperamento Predominante</t>
  </si>
  <si>
    <t>Motivação hedonista</t>
  </si>
  <si>
    <t>Motivação evolutiva</t>
  </si>
  <si>
    <t>Constância de propósitos</t>
  </si>
  <si>
    <t xml:space="preserve">Motivação hedonista  </t>
  </si>
  <si>
    <t xml:space="preserve">Motivação evolutiva  </t>
  </si>
  <si>
    <t xml:space="preserve">Volatividade de propóstitos  </t>
  </si>
  <si>
    <t xml:space="preserve">Constância de propósitos  </t>
  </si>
  <si>
    <t>Volatilidade de Propósitos</t>
  </si>
  <si>
    <t>Flutuação da autodisponibilidade</t>
  </si>
  <si>
    <t>Perseverança da autodisponibilidade</t>
  </si>
  <si>
    <t xml:space="preserve">Perseverança da autodisponibilidade  </t>
  </si>
  <si>
    <t xml:space="preserve">Flutuação da autodisponibilidade  </t>
  </si>
  <si>
    <t xml:space="preserve">Atuação habitual calma  </t>
  </si>
  <si>
    <t xml:space="preserve">Atuação habitual agitada  </t>
  </si>
  <si>
    <t xml:space="preserve">Alta adaptabilidade ao novo  </t>
  </si>
  <si>
    <t xml:space="preserve">Lenta adaptabilidade ao novo  </t>
  </si>
  <si>
    <t xml:space="preserve">Inexistente adaptabilidade ao novo  </t>
  </si>
  <si>
    <t xml:space="preserve">Instabilidade emocional  </t>
  </si>
  <si>
    <t xml:space="preserve">Estabilidade emocional  </t>
  </si>
  <si>
    <t>Velocidade da resposta emocional com comedimento</t>
  </si>
  <si>
    <t xml:space="preserve">Velocidade da resposta emocional com impulsividade  </t>
  </si>
  <si>
    <t>Intensidade da reação emocional amena</t>
  </si>
  <si>
    <t>Intensidade da reação emocional moderada</t>
  </si>
  <si>
    <t>Intensidade da reação emocional explosiva</t>
  </si>
  <si>
    <t>Predomínio do teor afetivo sadio</t>
  </si>
  <si>
    <t>Predomínio do teor afetivo patológico (medo, raiva, tristeza)</t>
  </si>
  <si>
    <t>Flutuação de humor</t>
  </si>
  <si>
    <t xml:space="preserve">Velocidade de resposta emocional impulsiva  </t>
  </si>
  <si>
    <t>Velocidade de resposta emocional comedida</t>
  </si>
  <si>
    <t>Intensidade de reação emocional amena</t>
  </si>
  <si>
    <t>Intensidade de reação emocional moderada</t>
  </si>
  <si>
    <t>Intensidade de reação emocional explosiva</t>
  </si>
  <si>
    <t>Predomínio do teor afetivo patológico</t>
  </si>
  <si>
    <t xml:space="preserve">Predomínio do teor afetivo sadio  </t>
  </si>
  <si>
    <t>Constância de humor</t>
  </si>
  <si>
    <t>Fluxo lento da pensenidade (bradipsiquismo)</t>
  </si>
  <si>
    <t>Fluxo rápido da pensenidade (taquipsiquismo)</t>
  </si>
  <si>
    <t>Bradipsiquismo pensênico</t>
  </si>
  <si>
    <t>Taquipsiquismo pensênico</t>
  </si>
  <si>
    <t>Flexibilidade na troca de bloco pensênico</t>
  </si>
  <si>
    <t>Fixação pensênica</t>
  </si>
  <si>
    <t>Flexibilidade pensênica</t>
  </si>
  <si>
    <t>Propensão a distração mental</t>
  </si>
  <si>
    <t>Propensão a concentração mental</t>
  </si>
  <si>
    <t>Inclinação à profundidade reflexiva</t>
  </si>
  <si>
    <t>Inclinação à superficialidade</t>
  </si>
  <si>
    <t>Padrão holopensênico benévolo</t>
  </si>
  <si>
    <t>Padrão holopensênico malévolo</t>
  </si>
  <si>
    <t>PERCEPTIBILIDADE</t>
  </si>
  <si>
    <t>PENSENIDADE</t>
  </si>
  <si>
    <t>EMOCIONALIDADE</t>
  </si>
  <si>
    <t>ATIVIDADE</t>
  </si>
  <si>
    <t>Amplo limiar de responsividade aos estímulos</t>
  </si>
  <si>
    <t>Restrito limiar de responsividade aos estímulos</t>
  </si>
  <si>
    <t xml:space="preserve">Constância de humor  </t>
  </si>
  <si>
    <t xml:space="preserve">Flutuação de humor  </t>
  </si>
  <si>
    <t xml:space="preserve">Fixação na troca de bloco pensênico  </t>
  </si>
  <si>
    <t xml:space="preserve">Propensão a distração mental  </t>
  </si>
  <si>
    <t xml:space="preserve">Propensão a concentração mental  </t>
  </si>
  <si>
    <t xml:space="preserve">Inclinação à superficialidade  </t>
  </si>
  <si>
    <t xml:space="preserve">Inclinação à profundidade reflexiva  </t>
  </si>
  <si>
    <t xml:space="preserve">Padrão holopensênico benévolo  </t>
  </si>
  <si>
    <t xml:space="preserve">Padrão holopensênico malévolo  </t>
  </si>
  <si>
    <t xml:space="preserve">Resposta rápida aos perceptos  </t>
  </si>
  <si>
    <t xml:space="preserve">Resposta lenta aos perceptos  </t>
  </si>
  <si>
    <t xml:space="preserve">Excitação diante da hiperestimulação  </t>
  </si>
  <si>
    <t xml:space="preserve">Acalmia diante da hiperestimulação  </t>
  </si>
  <si>
    <t xml:space="preserve">Inibição diante da hiperestimulação  </t>
  </si>
  <si>
    <t>Disposição natural à aproximação perante os neoestímulos</t>
  </si>
  <si>
    <t>Disposição natural à retraimento perante os neoestímulos</t>
  </si>
  <si>
    <t xml:space="preserve">Orientação pessoal mais extrovertida  </t>
  </si>
  <si>
    <t xml:space="preserve">Orientação pessoal mais introvertida  </t>
  </si>
  <si>
    <t>SOCIABILIDADE</t>
  </si>
  <si>
    <t xml:space="preserve">Primazia da interatividade cordial  </t>
  </si>
  <si>
    <t xml:space="preserve">Primazia da interatividade hostil  </t>
  </si>
  <si>
    <t xml:space="preserve">Tendência à afiliação  </t>
  </si>
  <si>
    <t xml:space="preserve">Tendência ao isolamento  </t>
  </si>
  <si>
    <t xml:space="preserve">Postura interconsciencial sectária  </t>
  </si>
  <si>
    <t xml:space="preserve">Postura interconsciencial universalista  </t>
  </si>
  <si>
    <t xml:space="preserve">Posicionamento usual egocêntrico  </t>
  </si>
  <si>
    <t xml:space="preserve">Posicionamento usual altruísta  </t>
  </si>
  <si>
    <t xml:space="preserve">Abertismo consciencial  </t>
  </si>
  <si>
    <t xml:space="preserve">Fechadismo consciencial  </t>
  </si>
  <si>
    <t>Aproximação perante os neoestímulos</t>
  </si>
  <si>
    <t>Retraimento perante os neoestímulos</t>
  </si>
  <si>
    <t>Aberto</t>
  </si>
  <si>
    <t>Fechado</t>
  </si>
  <si>
    <t>Acolhedor</t>
  </si>
  <si>
    <t>Irascível</t>
  </si>
  <si>
    <t>Alegre</t>
  </si>
  <si>
    <t>Feudal</t>
  </si>
  <si>
    <t>Amadurecido</t>
  </si>
  <si>
    <t>Imaturo</t>
  </si>
  <si>
    <t>Antecipador</t>
  </si>
  <si>
    <t>Procrastinador</t>
  </si>
  <si>
    <t>Anticonflitivo</t>
  </si>
  <si>
    <t>Assertivo</t>
  </si>
  <si>
    <t>Leniente</t>
  </si>
  <si>
    <t>Assistencial</t>
  </si>
  <si>
    <t>Petulante</t>
  </si>
  <si>
    <t>Autodesassediado</t>
  </si>
  <si>
    <t>Heterassediador</t>
  </si>
  <si>
    <t>Autoimperdoador</t>
  </si>
  <si>
    <t>Autoindulgente</t>
  </si>
  <si>
    <t>Benigno</t>
  </si>
  <si>
    <t>Malévolo</t>
  </si>
  <si>
    <t>Bibliofilico</t>
  </si>
  <si>
    <t>Néscio</t>
  </si>
  <si>
    <t>Bibliofóbico</t>
  </si>
  <si>
    <t>Conciliador</t>
  </si>
  <si>
    <t>Caústico</t>
  </si>
  <si>
    <t>Cosmovisiológico</t>
  </si>
  <si>
    <t>Monovisiológico</t>
  </si>
  <si>
    <t>Detalhista</t>
  </si>
  <si>
    <t>Perfeccionista</t>
  </si>
  <si>
    <t>Doador</t>
  </si>
  <si>
    <t>Egocêntrico</t>
  </si>
  <si>
    <t>Educador</t>
  </si>
  <si>
    <t>Repressor</t>
  </si>
  <si>
    <t>Equilibrado</t>
  </si>
  <si>
    <t>Baratrosférico</t>
  </si>
  <si>
    <t>Exaustivo</t>
  </si>
  <si>
    <t>Superficial</t>
  </si>
  <si>
    <t>Exemplarístico</t>
  </si>
  <si>
    <t>Vexaminoso</t>
  </si>
  <si>
    <t>Extrovertido</t>
  </si>
  <si>
    <t>Introvertido</t>
  </si>
  <si>
    <t>Fitofílico</t>
  </si>
  <si>
    <t>Fitofóbico</t>
  </si>
  <si>
    <t>Flexível</t>
  </si>
  <si>
    <t>Teimoso</t>
  </si>
  <si>
    <t>Heurístico</t>
  </si>
  <si>
    <t>Plagiador</t>
  </si>
  <si>
    <t>Intelectual</t>
  </si>
  <si>
    <t>Psicomotor</t>
  </si>
  <si>
    <t>Interdependente</t>
  </si>
  <si>
    <t>Megadependente</t>
  </si>
  <si>
    <t>Large</t>
  </si>
  <si>
    <t>Miserê</t>
  </si>
  <si>
    <t>Megaeuforizante</t>
  </si>
  <si>
    <t>Megassediante</t>
  </si>
  <si>
    <t>Morígero</t>
  </si>
  <si>
    <t>Imorigerado</t>
  </si>
  <si>
    <t>Neofílico</t>
  </si>
  <si>
    <t>Neofóbico</t>
  </si>
  <si>
    <t>Omnicrítico</t>
  </si>
  <si>
    <t>Manipulável</t>
  </si>
  <si>
    <t>Otimista</t>
  </si>
  <si>
    <t>Pessimista</t>
  </si>
  <si>
    <t>Paciente</t>
  </si>
  <si>
    <t>Pacifista</t>
  </si>
  <si>
    <t>Belicista</t>
  </si>
  <si>
    <t>Parapsíquico</t>
  </si>
  <si>
    <t>Eletronótico</t>
  </si>
  <si>
    <t>Ponderado</t>
  </si>
  <si>
    <t>Impulsivo</t>
  </si>
  <si>
    <t>Racional</t>
  </si>
  <si>
    <t>Emocional</t>
  </si>
  <si>
    <t>Revitalizante</t>
  </si>
  <si>
    <t>Depressivo</t>
  </si>
  <si>
    <t>Sereno</t>
  </si>
  <si>
    <t>Ansioso</t>
  </si>
  <si>
    <t>Superavitário</t>
  </si>
  <si>
    <t>Deficitário</t>
  </si>
  <si>
    <t>Taquipsíquico</t>
  </si>
  <si>
    <t>Bradipsíquico</t>
  </si>
  <si>
    <t>Tarístico</t>
  </si>
  <si>
    <t>Taconístico</t>
  </si>
  <si>
    <t>Tenepessável</t>
  </si>
  <si>
    <t>Religioso</t>
  </si>
  <si>
    <t>Traforístico</t>
  </si>
  <si>
    <t>Trafarístico</t>
  </si>
  <si>
    <t>Universalista</t>
  </si>
  <si>
    <t>Monárquico</t>
  </si>
  <si>
    <t>Voliciolínico</t>
  </si>
  <si>
    <t>Voliciopático</t>
  </si>
  <si>
    <t>Zoofílico</t>
  </si>
  <si>
    <t>Zoofóbico</t>
  </si>
  <si>
    <t>Sorumbático</t>
  </si>
  <si>
    <t>Altruístico</t>
  </si>
  <si>
    <t>Omniconflitivo</t>
  </si>
  <si>
    <t>Cogniciofílico</t>
  </si>
  <si>
    <t>Liderológico</t>
  </si>
  <si>
    <t>Submisso</t>
  </si>
  <si>
    <t>Irritadiço</t>
  </si>
  <si>
    <t>Homeostático</t>
  </si>
  <si>
    <t>Nosográfico</t>
  </si>
  <si>
    <t>Assinale com "x" a variável que se aproxima ao seu temperamento</t>
  </si>
  <si>
    <r>
      <t>N</t>
    </r>
    <r>
      <rPr>
        <b/>
        <sz val="11"/>
        <rFont val="Calibri"/>
        <family val="2"/>
      </rPr>
      <t>º</t>
    </r>
  </si>
  <si>
    <t>4. As planilhas estão interligadas entre si, e para garantir essa interrelação de dados optou-se em proteger algumas células.</t>
  </si>
  <si>
    <t>5. As células que irão receber os dados (letras, textos ou números) estão desprotegidas.</t>
  </si>
  <si>
    <t>6. Em algumas planilhas o pesquisador encontrata uma tarja vermelha com algumas informações referentes ao preenchimento. Para visualizar a informação é necessário colocar o cursor sobre essa tarja vermelha.</t>
  </si>
  <si>
    <t>7. Algumas planilhas disponibilizam espaço para inclusão de textos. A célula desbloqueada para inclusão do texto pode estar abaixo ou ao lado da variável em análise.</t>
  </si>
  <si>
    <t>QUESTIONAMENTO</t>
  </si>
  <si>
    <r>
      <rPr>
        <b/>
        <i/>
        <sz val="16"/>
        <rFont val="Arial"/>
        <family val="2"/>
      </rPr>
      <t>A PESQUISA, IDENTIFICAÇÃO E</t>
    </r>
    <r>
      <rPr>
        <i/>
        <sz val="16"/>
        <rFont val="Arial"/>
        <family val="2"/>
      </rPr>
      <t xml:space="preserve"> APLICAÇÃO DA AUTOCOGNIÇÃO</t>
    </r>
  </si>
  <si>
    <r>
      <rPr>
        <b/>
        <i/>
        <sz val="16"/>
        <rFont val="Arial"/>
        <family val="2"/>
      </rPr>
      <t>QUANTO À</t>
    </r>
    <r>
      <rPr>
        <i/>
        <sz val="16"/>
        <rFont val="Arial"/>
        <family val="2"/>
      </rPr>
      <t xml:space="preserve"> RAIZ DO PRÓPRIO TEMPERAMENTO</t>
    </r>
  </si>
  <si>
    <r>
      <t xml:space="preserve">DEVE, LOGICAMENTE, </t>
    </r>
    <r>
      <rPr>
        <b/>
        <i/>
        <sz val="16"/>
        <rFont val="Arial"/>
        <family val="2"/>
      </rPr>
      <t>SER PONTO ESSENCIAL PARA</t>
    </r>
  </si>
  <si>
    <r>
      <rPr>
        <b/>
        <i/>
        <sz val="16"/>
        <rFont val="Arial"/>
        <family val="2"/>
      </rPr>
      <t>A</t>
    </r>
    <r>
      <rPr>
        <i/>
        <sz val="16"/>
        <rFont val="Arial"/>
        <family val="2"/>
      </rPr>
      <t xml:space="preserve"> AUTOMATURIDADE </t>
    </r>
    <r>
      <rPr>
        <b/>
        <i/>
        <sz val="16"/>
        <rFont val="Arial"/>
        <family val="2"/>
      </rPr>
      <t>DA</t>
    </r>
    <r>
      <rPr>
        <i/>
        <sz val="16"/>
        <rFont val="Arial"/>
        <family val="2"/>
      </rPr>
      <t xml:space="preserve"> CONSCIÊNCIA INTERMISSIVISTA.</t>
    </r>
  </si>
  <si>
    <t>Justifique aqui</t>
  </si>
  <si>
    <t>Volatilidade de propósitos</t>
  </si>
  <si>
    <t>HOMEM</t>
  </si>
  <si>
    <t>MULHER</t>
  </si>
  <si>
    <t>VARIÁVEIS</t>
  </si>
  <si>
    <t>Convergência</t>
  </si>
  <si>
    <t>Divergência</t>
  </si>
  <si>
    <t>HH</t>
  </si>
  <si>
    <t>HN</t>
  </si>
  <si>
    <t>MH</t>
  </si>
  <si>
    <t>MN</t>
  </si>
  <si>
    <t>Soma</t>
  </si>
  <si>
    <t>50 Categorias</t>
  </si>
  <si>
    <t>5 Variáveis</t>
  </si>
  <si>
    <t>COMPARATIVO DA DUPLA NAS 50 CATEGORIAS DO TEMPERAMENTO HUMANO</t>
  </si>
  <si>
    <t>COMPARATIVO DA DUPLA NA RAIZ DO TEMPERAMENTO</t>
  </si>
  <si>
    <t>1. Vocês identificaram a raiz do próprio temperamento? Caso positivo, sintetizem seus temperamentos.</t>
  </si>
  <si>
    <t>2. Vocês sabem aplicar estes conhecimentos nas neoconquistas evolutivas?</t>
  </si>
  <si>
    <t>22. Sexualidade.  Venho fazendo amor diariamente, quando possível, com ela, a fim de mantê-la sem carência sexual e afetiva?</t>
  </si>
  <si>
    <t>O teste da vivência do nível da autêntica afetividade – o amor real do casal íntimo – pela consciência que compõe uma dupla evolutiva, pode ser desenvolvido pelas respostas realistas a estas 25 questões</t>
  </si>
  <si>
    <t>Sim</t>
  </si>
  <si>
    <t>Não</t>
  </si>
  <si>
    <t>Total</t>
  </si>
  <si>
    <t>Alcova</t>
  </si>
  <si>
    <t>Assédios</t>
  </si>
  <si>
    <t>Assins</t>
  </si>
  <si>
    <t>Carinho</t>
  </si>
  <si>
    <t>Clarividências</t>
  </si>
  <si>
    <t>Cosmoconsciência</t>
  </si>
  <si>
    <t>Descompensações</t>
  </si>
  <si>
    <t>Estado Vibracional</t>
  </si>
  <si>
    <t>Holochacra</t>
  </si>
  <si>
    <t>Holorgasmo</t>
  </si>
  <si>
    <t>Isca</t>
  </si>
  <si>
    <t>Objetos</t>
  </si>
  <si>
    <t>Projeção Consciente</t>
  </si>
  <si>
    <t>Projeção Consciente Conjunta</t>
  </si>
  <si>
    <t>Presente</t>
  </si>
  <si>
    <t>Porão</t>
  </si>
  <si>
    <t>Primener</t>
  </si>
  <si>
    <t>Proéxis</t>
  </si>
  <si>
    <t>Projetarium</t>
  </si>
  <si>
    <t>Recéxis</t>
  </si>
  <si>
    <t>Sexualidade</t>
  </si>
  <si>
    <t>Sinalética</t>
  </si>
  <si>
    <t>Trafares</t>
  </si>
  <si>
    <t>Trafores</t>
  </si>
  <si>
    <t xml:space="preserve"> Acoplamento</t>
  </si>
  <si>
    <t xml:space="preserve">Se o interessado ou interessada respondeu sim a, pelo menos, 12 destas questões, a sua afetividade prática ou vivida, é de bom nível conscienciológico, holossomático e parapsíquico. </t>
  </si>
  <si>
    <t>Convergências</t>
  </si>
  <si>
    <t>Resultado</t>
  </si>
  <si>
    <t>#</t>
  </si>
  <si>
    <t>Através do mentalsoma, podemos embasar os princípios da dupla evolutiva capazes de alcançar pleno êxito na vida humana, estabelecendo as características inteligentes e cosmoéticas da vivência humana, evolutiva, a dois, através de um teste.</t>
  </si>
  <si>
    <t>Eis um teste com 30 características pelas quais podemos saber o que a dupla evolutiva satisfatória é, e, ao mesmo tempo, o que a dupla evolutiva não é:</t>
  </si>
  <si>
    <t>1. Almoçar e jantar sabendo com quem</t>
  </si>
  <si>
    <t>2. Apoio mútuo nas obras conscienciais</t>
  </si>
  <si>
    <t>3. Compartilhar intimidade autêntica</t>
  </si>
  <si>
    <t>4. Compreensão mútua profunda</t>
  </si>
  <si>
    <t>5. Compromisso ímpar de destino</t>
  </si>
  <si>
    <t>6. Crescimento evolutivo a dois</t>
  </si>
  <si>
    <t>7. Cumplicidade grupocármica lúcida</t>
  </si>
  <si>
    <t>8. Fazer amor puro com envolvimento</t>
  </si>
  <si>
    <t>9. Interdependência consciente sadia</t>
  </si>
  <si>
    <t>11. Método perene de ensaio e erro</t>
  </si>
  <si>
    <t>12. Morar  no holossoma do outro(a)</t>
  </si>
  <si>
    <t>13. Parceria evolutiva de alto nível</t>
  </si>
  <si>
    <t xml:space="preserve">A  Dupla  Evolutiva  É: </t>
  </si>
  <si>
    <t xml:space="preserve">10. Intimidade para realizações dignas </t>
  </si>
  <si>
    <t>14. Pôr o nosso acima do meu e seu</t>
  </si>
  <si>
    <t>15. Preservação das individualidades</t>
  </si>
  <si>
    <t>16. Pronto-socorro mútuo acessível</t>
  </si>
  <si>
    <t>17. Realimentação mútua permanente</t>
  </si>
  <si>
    <t>18. Recurso perene de autodescoberta</t>
  </si>
  <si>
    <t>19. Respeito evolutivo mútuo constante</t>
  </si>
  <si>
    <t>20. Reunião de caras-metade lúcidas</t>
  </si>
  <si>
    <t>21. Ser amigos íntimos o tempo todo</t>
  </si>
  <si>
    <t>22. Sintonia de interesses e objetivos</t>
  </si>
  <si>
    <t>23. Somatório de esforços conscienciais</t>
  </si>
  <si>
    <t xml:space="preserve">24. Um megavínculo afetivo-sexual </t>
  </si>
  <si>
    <t>25. Uma boa dose de senso de humor</t>
  </si>
  <si>
    <t>26. Uma simbiose consciencial sadia</t>
  </si>
  <si>
    <t>27. Uma troca consciencial permanente</t>
  </si>
  <si>
    <t>28. Uma validação pessoal e mútua</t>
  </si>
  <si>
    <t>29. Um reencontro providencial</t>
  </si>
  <si>
    <t>30. Viver juntos o melhor possível</t>
  </si>
  <si>
    <t>A  Dupla  Evolutiva  NÃO  É:</t>
  </si>
  <si>
    <t>1, Ajuste entre 2 conscins estranhas</t>
  </si>
  <si>
    <t>2. Anulação efêmera de 2 conscins</t>
  </si>
  <si>
    <t>3. Atendimento da necessidade de ter filhos</t>
  </si>
  <si>
    <t>4. Camisa de força a dois na Socin</t>
  </si>
  <si>
    <t>5. Casamento fechado tradicional</t>
  </si>
  <si>
    <t>6. Coleira apertada no pescoço</t>
  </si>
  <si>
    <t>7. Desligamento da comunicação</t>
  </si>
  <si>
    <t>8. Destruição da individualidade</t>
  </si>
  <si>
    <t>9. Distanciamento emocional</t>
  </si>
  <si>
    <t>10. Divórcio emocional pelo psicossoma</t>
  </si>
  <si>
    <t>11. Proposta de cada um na sua</t>
  </si>
  <si>
    <t>12. Ficar sem conversar entre si</t>
  </si>
  <si>
    <t>13. Independência total permanente</t>
  </si>
  <si>
    <t>14. Machismo nem marianismo (Amélia)</t>
  </si>
  <si>
    <t>15. Masoquismo conjugal primário</t>
  </si>
  <si>
    <t>16. Relação dependente-salvador(a)</t>
  </si>
  <si>
    <t>17. Relação de símbolo com símbolo</t>
  </si>
  <si>
    <t>18. Recurso para colecionar orgasmos</t>
  </si>
  <si>
    <t>19. Relação parasita-hospedeiro(a)</t>
  </si>
  <si>
    <t>20. Reunião psicótica de vítima e algoz</t>
  </si>
  <si>
    <t>21. Só o lado ensolarado  das conscins</t>
  </si>
  <si>
    <t>22. Sorte grande para um ser social</t>
  </si>
  <si>
    <t>23. Uma caixa apertada para dois</t>
  </si>
  <si>
    <t>24. Um poço de mágoas a dois em casa</t>
  </si>
  <si>
    <t>25. Uma espécie artificial de Casal 20</t>
  </si>
  <si>
    <t>26. Uma espécie de loteria da vida</t>
  </si>
  <si>
    <t>27. Uma prisão insuportável para dois</t>
  </si>
  <si>
    <t>28. Um par de algemas sem chaves</t>
  </si>
  <si>
    <t>29. União lírica de almas gêmeas</t>
  </si>
  <si>
    <t>30. Vivência da intocabilidade física</t>
  </si>
  <si>
    <t>Assinalar</t>
  </si>
  <si>
    <t>A DUPLA EVOLUTIVA É</t>
  </si>
  <si>
    <t xml:space="preserve">      As características da dupla evolutiva que você compõe, predominam na primeira ou na segunda coluna do teste?</t>
  </si>
  <si>
    <t>Resultado da Primeira Coluna</t>
  </si>
  <si>
    <t>Resultado da Segunda Coluna</t>
  </si>
  <si>
    <r>
      <t xml:space="preserve">1. </t>
    </r>
    <r>
      <rPr>
        <b/>
        <sz val="10"/>
        <rFont val="Arial"/>
        <family val="2"/>
      </rPr>
      <t>Afetividade.</t>
    </r>
    <r>
      <rPr>
        <sz val="10"/>
        <rFont val="Arial"/>
      </rPr>
      <t xml:space="preserve"> Estima, amor e afetividade decorrentes de todos os esforços conjuntos a fim de queimar etapas em busca da evolução consciencial.</t>
    </r>
  </si>
  <si>
    <r>
      <t xml:space="preserve">2. </t>
    </r>
    <r>
      <rPr>
        <b/>
        <sz val="10"/>
        <rFont val="Arial"/>
        <family val="2"/>
      </rPr>
      <t>Conduta.</t>
    </r>
    <r>
      <rPr>
        <sz val="10"/>
        <rFont val="Arial"/>
      </rPr>
      <t xml:space="preserve">  Espontaneidade desinibida, o ato de  tirar a maquilagem, a autenticidade sincera e permanente dentro da conduta cosmoética, intrafísica e extrafísica.</t>
    </r>
  </si>
  <si>
    <r>
      <t xml:space="preserve">3. </t>
    </r>
    <r>
      <rPr>
        <b/>
        <sz val="10"/>
        <rFont val="Arial"/>
        <family val="2"/>
      </rPr>
      <t>Confiança.</t>
    </r>
    <r>
      <rPr>
        <sz val="10"/>
        <rFont val="Arial"/>
      </rPr>
      <t xml:space="preserve"> Confiança aberta, mútua, que elimina a insegurança do ciúme doentio, através do diálogo ou da intercomunicação consciencial ininterrupta.</t>
    </r>
  </si>
  <si>
    <r>
      <t xml:space="preserve">4. </t>
    </r>
    <r>
      <rPr>
        <b/>
        <sz val="10"/>
        <rFont val="Arial"/>
        <family val="2"/>
      </rPr>
      <t>Criatividade.</t>
    </r>
    <r>
      <rPr>
        <sz val="10"/>
        <rFont val="Arial"/>
      </rPr>
      <t xml:space="preserve">  Criatividade com expansão em tudo o que se faz, consciente do caráter avançado e original dos princípios da filosofia da dupla evolutiva.</t>
    </r>
  </si>
  <si>
    <r>
      <t xml:space="preserve">5. </t>
    </r>
    <r>
      <rPr>
        <b/>
        <sz val="10"/>
        <rFont val="Arial"/>
        <family val="2"/>
      </rPr>
      <t>ECs.</t>
    </r>
    <r>
      <rPr>
        <sz val="10"/>
        <rFont val="Arial"/>
      </rPr>
      <t xml:space="preserve"> Amor revitalizante no sistema de energias conscienciais (ECs) abertas, a dois, em expansão viva.</t>
    </r>
  </si>
  <si>
    <r>
      <t xml:space="preserve">6. </t>
    </r>
    <r>
      <rPr>
        <b/>
        <sz val="10"/>
        <rFont val="Arial"/>
        <family val="2"/>
      </rPr>
      <t xml:space="preserve">Enriquecimento. </t>
    </r>
    <r>
      <rPr>
        <sz val="10"/>
        <rFont val="Arial"/>
      </rPr>
      <t xml:space="preserve"> Enriquecimento consciencial efetivo tanto para um quanto para o outro parceiro consciencial, intrafísico, evolutivo, consciente.</t>
    </r>
  </si>
  <si>
    <r>
      <t xml:space="preserve">7. </t>
    </r>
    <r>
      <rPr>
        <b/>
        <sz val="10"/>
        <rFont val="Arial"/>
        <family val="2"/>
      </rPr>
      <t>Estimulação.</t>
    </r>
    <r>
      <rPr>
        <sz val="10"/>
        <rFont val="Arial"/>
      </rPr>
      <t xml:space="preserve">  Estimulação recíproca, sem sufocações ou chantagens emocionais.</t>
    </r>
  </si>
  <si>
    <r>
      <t>8.</t>
    </r>
    <r>
      <rPr>
        <b/>
        <sz val="10"/>
        <rFont val="Arial"/>
        <family val="2"/>
      </rPr>
      <t xml:space="preserve"> Evolução.</t>
    </r>
    <r>
      <rPr>
        <sz val="10"/>
        <rFont val="Arial"/>
      </rPr>
      <t xml:space="preserve"> Respeito natural ao nível e ao ritmo evolutivo do companheiro (ou companheira), na verdade, a maior demonstração prática de amor puro.</t>
    </r>
  </si>
  <si>
    <r>
      <t xml:space="preserve">9. </t>
    </r>
    <r>
      <rPr>
        <b/>
        <sz val="10"/>
        <rFont val="Arial"/>
        <family val="2"/>
      </rPr>
      <t>Flexibilidade.</t>
    </r>
    <r>
      <rPr>
        <sz val="10"/>
        <rFont val="Arial"/>
      </rPr>
      <t xml:space="preserve"> Flexibilidade mental prática nos papéis vitais que cada um desempenha em uma existência agilizada pelo discernimento magno.</t>
    </r>
  </si>
  <si>
    <r>
      <t xml:space="preserve">10. </t>
    </r>
    <r>
      <rPr>
        <b/>
        <sz val="10"/>
        <rFont val="Arial"/>
        <family val="2"/>
      </rPr>
      <t>Imediatismo</t>
    </r>
    <r>
      <rPr>
        <sz val="10"/>
        <rFont val="Arial"/>
      </rPr>
      <t>. Crescimento pessoal e conjunto com potencialidade ilimitada no aqui-e-agora do imediatismo diferente, holossomático, multidimensional e lúcido.</t>
    </r>
  </si>
  <si>
    <r>
      <t xml:space="preserve">11. </t>
    </r>
    <r>
      <rPr>
        <b/>
        <sz val="10"/>
        <rFont val="Arial"/>
        <family val="2"/>
      </rPr>
      <t>Interdependência.</t>
    </r>
    <r>
      <rPr>
        <sz val="10"/>
        <rFont val="Arial"/>
      </rPr>
      <t xml:space="preserve"> Liberdade individual dentro da condição lúcida da interdependência evolutiva, distante da dependência e independência conscienciais impraticáveis ou inconvenientes.</t>
    </r>
  </si>
  <si>
    <r>
      <t xml:space="preserve">12. </t>
    </r>
    <r>
      <rPr>
        <b/>
        <sz val="10"/>
        <rFont val="Arial"/>
        <family val="2"/>
      </rPr>
      <t>Intimidade.</t>
    </r>
    <r>
      <rPr>
        <sz val="10"/>
        <rFont val="Arial"/>
      </rPr>
      <t xml:space="preserve"> Intimidade máxima possível entre 2 conscins, pré-serenonas, que demandam a condição evoluída do desassediado permanente total (desperto).</t>
    </r>
  </si>
  <si>
    <r>
      <t xml:space="preserve">13. </t>
    </r>
    <r>
      <rPr>
        <b/>
        <sz val="10"/>
        <rFont val="Arial"/>
        <family val="2"/>
      </rPr>
      <t>Mudanças.</t>
    </r>
    <r>
      <rPr>
        <sz val="10"/>
        <rFont val="Arial"/>
      </rPr>
      <t xml:space="preserve"> Aprendizagem evolutiva incessante sempre adaptável às mudanças esperadas e compreensíveis que se fizerem necessárias.</t>
    </r>
  </si>
  <si>
    <r>
      <t xml:space="preserve">14. </t>
    </r>
    <r>
      <rPr>
        <b/>
        <sz val="10"/>
        <rFont val="Arial"/>
        <family val="2"/>
      </rPr>
      <t>Relacionamento.</t>
    </r>
    <r>
      <rPr>
        <sz val="10"/>
        <rFont val="Arial"/>
      </rPr>
      <t xml:space="preserve"> Intensidade positiva do relacionamento, com expectativas realistas e racionais, sem escravidão de qualquer natureza.</t>
    </r>
  </si>
  <si>
    <r>
      <t xml:space="preserve">15. </t>
    </r>
    <r>
      <rPr>
        <b/>
        <sz val="10"/>
        <rFont val="Arial"/>
        <family val="2"/>
      </rPr>
      <t>Responsabilidades.</t>
    </r>
    <r>
      <rPr>
        <sz val="10"/>
        <rFont val="Arial"/>
      </rPr>
      <t xml:space="preserve">  Responsabilidade pessoal e conjunta, a dois, perante as próprias proéxis, ou as programações existenciais e evolutivas.</t>
    </r>
  </si>
  <si>
    <t>IDEIAS BÁSICAS DA DUPLA EVOLUTIVA</t>
  </si>
  <si>
    <t>Em uma abordagem pela ordem alfabética dos assuntos, eis 15 ideais básicos da dupla evolutiva, seja constituída por 2 inversores, 2 reciclantes, ou uma dupla mista, reciclante / inversor (a), ou vice-versa. Qual o percentual de aplicabilidade da dupla nas ideias básicas mencionadas?</t>
  </si>
  <si>
    <t>Afetividade</t>
  </si>
  <si>
    <t>Conduta</t>
  </si>
  <si>
    <t>Confiança</t>
  </si>
  <si>
    <t>Criatividade</t>
  </si>
  <si>
    <t>Ecs</t>
  </si>
  <si>
    <t>Enriquecimento</t>
  </si>
  <si>
    <t>Estimulação</t>
  </si>
  <si>
    <t>Evolução</t>
  </si>
  <si>
    <t>Flexibilidade</t>
  </si>
  <si>
    <t>Imediatismo</t>
  </si>
  <si>
    <t>Interdependência</t>
  </si>
  <si>
    <t>Intimidade</t>
  </si>
  <si>
    <t>Mudanças</t>
  </si>
  <si>
    <t>Relacionamento</t>
  </si>
  <si>
    <t>Responsabilidades</t>
  </si>
  <si>
    <t>Média</t>
  </si>
  <si>
    <t>Aplicabilidade média de</t>
  </si>
  <si>
    <t>Eis como exemplos, em ordem alfabética, dentre outras, 60 potencialidades, realizações, execuções, empreendimentos exequíveis ou vivências mútuas, sadias, alcançadas pela dupla evolutiva em sua evolução consciencial, na vida intra e extrafísica a dois (universo dual), condutas-exceção sadias com os seus somas, holochacras, psicossomas e mentaissomas quando conjugados:</t>
  </si>
  <si>
    <t>1. Acoplamentos áuricos profiláticos a dois.</t>
  </si>
  <si>
    <t>2. Assistências interconscienciais a dois.</t>
  </si>
  <si>
    <t>3. Atacadismo consciencial exercido a dois.</t>
  </si>
  <si>
    <t>4. Ato de ficar sozinho a dois.</t>
  </si>
  <si>
    <t>5. Compléxis alcançados em décadas a dois.</t>
  </si>
  <si>
    <t>6. Conscienciograma consultado a dois.</t>
  </si>
  <si>
    <t>7. Conscientização multidimensional a dois.</t>
  </si>
  <si>
    <t>8. Correções de erros e omissões deficitárias a dois.</t>
  </si>
  <si>
    <t>9. Cosmoética vivida a dois (incorruptibilidade).</t>
  </si>
  <si>
    <t>10. Crescimento evolutivo desenvolvido a dois.</t>
  </si>
  <si>
    <t>11. Desperticidade produtiva e usufruída a dois.</t>
  </si>
  <si>
    <t>12. Dimener alcançada com lucidez a dois</t>
  </si>
  <si>
    <t>13. Docência conscienciológica exercida a dois.</t>
  </si>
  <si>
    <t>14. Encapsulamentos conscienciais, sadios, a dois.</t>
  </si>
  <si>
    <t>15. Enfermagem exercida (mutuamente) a dois.</t>
  </si>
  <si>
    <t>16. Epicentrismo autoconsciente vivido a dois.</t>
  </si>
  <si>
    <t>17. Estados vibracionais, simultâneos, a dois.</t>
  </si>
  <si>
    <t>18. Euforias extrafísicas, projetivas, a dois.</t>
  </si>
  <si>
    <t>19. Euforias intrafísicas desfrutadas a dois.</t>
  </si>
  <si>
    <t>20. Expansão das energias conscienciais (ECs) a dois.</t>
  </si>
  <si>
    <t>21. Gestações conscienciais a dois (condutas-exceção).</t>
  </si>
  <si>
    <t>22. Grupalidade evoluída e lúcida a dois.</t>
  </si>
  <si>
    <t>23. Heteravaliações conscienciais (mútuas) a dois.</t>
  </si>
  <si>
    <t>24. Holopensene cosmoético construído a dois.</t>
  </si>
  <si>
    <t>25. Holorgasmos conjuntos, simultâneos, a dois.</t>
  </si>
  <si>
    <t>26. Homeostase holossomática mantida a dois.</t>
  </si>
  <si>
    <t>27. Intercooperação evolutiva na vida humana a dois.</t>
  </si>
  <si>
    <t>28. Invéxis aceitas e realizadas a dois.</t>
  </si>
  <si>
    <t>29. Lazer com motivação e trabalho construtivo a dois.</t>
  </si>
  <si>
    <t>30. Liberdade máxima vivida a dois na Socin.</t>
  </si>
  <si>
    <t>31. Minimortes temporárias vividas a dois (projeções).</t>
  </si>
  <si>
    <t>32. Moréxis simultâneas obtidas a dois no mesmo período.</t>
  </si>
  <si>
    <t>33. Parapsiquismo desenvolvido e exercido a dois.</t>
  </si>
  <si>
    <t>34. Pensenizações cosmoéticas a dois (ho' a dois.</t>
  </si>
  <si>
    <t>35. Policarmalidade buscada e vivida a dois.</t>
  </si>
  <si>
    <t>36. Primaveras energéticas usufruídas a dois.</t>
  </si>
  <si>
    <t>37. Proéxis executadas e exemplificadas a dois.</t>
  </si>
  <si>
    <t>38. Profissão semelhante exercida a dois.</t>
  </si>
  <si>
    <t>39. Projeções conscientes conjuntas a dois.</t>
  </si>
  <si>
    <t>40. Projetarium construído e empregado a dois.</t>
  </si>
  <si>
    <t>41. Recéxis analisadas e desenvolvidas a dois.</t>
  </si>
  <si>
    <t>42. Recuperações simultâneas dos cons a dois.</t>
  </si>
  <si>
    <t>43. Regime coexistencial a dois (coabitação harmônica).</t>
  </si>
  <si>
    <t>44. Responsabilidade pessoal e conjunta a dois.</t>
  </si>
  <si>
    <t>45. Retomadas ideológicas a dois (recéxis).</t>
  </si>
  <si>
    <t>46. Retrocognições projetivas (grupais) a dois.</t>
  </si>
  <si>
    <t>47. Revezamentos conscienciais a dois.</t>
  </si>
  <si>
    <t>48. Simbioses energéticas (interfusões) a dois</t>
  </si>
  <si>
    <t>49. Socialismo evolutivo e vivido a dois.</t>
  </si>
  <si>
    <t>50. Tares vividas, dia e noite, a dois.</t>
  </si>
  <si>
    <t>51. Teáticas conscienciológicas a dois.</t>
  </si>
  <si>
    <t>52. Telepatia habitual, entre si, a dois.</t>
  </si>
  <si>
    <t>53. Trabalhos caseiros, homemade, a dois.</t>
  </si>
  <si>
    <t>54. Trinômio motivação-trabalho-lazer vivido a dois.</t>
  </si>
  <si>
    <t>55. Verbações intrafísicas na cotidianidade a dois.</t>
  </si>
  <si>
    <t>56. Vida diuturna afetivo-sexual a dois.</t>
  </si>
  <si>
    <t>57. Vínculos conscienciais exemplificados a dois.</t>
  </si>
  <si>
    <t>58. Vivências humanas evolutivas a dois.</t>
  </si>
  <si>
    <t>59. Volitações lúcidas experimentadas a dois.</t>
  </si>
  <si>
    <t>Realizadas</t>
  </si>
  <si>
    <t>Não realizadas</t>
  </si>
  <si>
    <t>POTENCIALIDADES A SEREM CONQUISTADAS PELA DUPLA EVOLUTIVA</t>
  </si>
  <si>
    <t>Você, leitor ou leitora, já alcançou quantas e quais conquistas, desta listagem, com o seu parceiro de dupla evolutiva?</t>
  </si>
  <si>
    <t>É possível diagnosticar o estado do amor consciencial puro - fisiológico e parafisiológico - da dupla evolutiva, através de 15 sinais insofismáveis, a médio e longo prazo:</t>
  </si>
  <si>
    <r>
      <t xml:space="preserve">1. </t>
    </r>
    <r>
      <rPr>
        <b/>
        <sz val="10"/>
        <rFont val="Arial"/>
        <family val="2"/>
      </rPr>
      <t xml:space="preserve">Admiração. </t>
    </r>
    <r>
      <rPr>
        <sz val="10"/>
        <rFont val="Arial"/>
        <family val="2"/>
      </rPr>
      <t>Você está fascinado pela visão da pessoa, embevecido ao máximo em sua admiração?</t>
    </r>
  </si>
  <si>
    <r>
      <t xml:space="preserve">2. </t>
    </r>
    <r>
      <rPr>
        <b/>
        <sz val="10"/>
        <rFont val="Arial"/>
        <family val="2"/>
      </rPr>
      <t>Bem-estar.</t>
    </r>
    <r>
      <rPr>
        <sz val="10"/>
        <rFont val="Arial"/>
        <family val="2"/>
      </rPr>
      <t xml:space="preserve"> Inclina-se pela pessoa com um sentimento inefável de bem-estar?</t>
    </r>
  </si>
  <si>
    <r>
      <t xml:space="preserve">3. </t>
    </r>
    <r>
      <rPr>
        <b/>
        <sz val="10"/>
        <rFont val="Arial"/>
        <family val="2"/>
      </rPr>
      <t>ECs.</t>
    </r>
    <r>
      <rPr>
        <sz val="10"/>
        <rFont val="Arial"/>
        <family val="2"/>
      </rPr>
      <t xml:space="preserve"> Tem o anseio de ficar só, em silêncio e sem quaisquer reclamações, no ambiente pessoal até o outro dia, quando sabe que a pessoa retornará ali, em função das energias conscienciais alimentadoras dela, aí existentes, percebidas e usufruídas por você?</t>
    </r>
  </si>
  <si>
    <r>
      <t xml:space="preserve">4. </t>
    </r>
    <r>
      <rPr>
        <b/>
        <sz val="10"/>
        <rFont val="Arial"/>
        <family val="2"/>
      </rPr>
      <t>Euforia.</t>
    </r>
    <r>
      <rPr>
        <sz val="10"/>
        <rFont val="Arial"/>
        <family val="2"/>
      </rPr>
      <t xml:space="preserve"> Você  devora o ser-alvo com os olhos cheios das melhores lágrimas de alegria, no auge da euforia possível, em toda a sua existência intrafísica?</t>
    </r>
  </si>
  <si>
    <r>
      <t xml:space="preserve">5. </t>
    </r>
    <r>
      <rPr>
        <b/>
        <sz val="10"/>
        <rFont val="Arial"/>
        <family val="2"/>
      </rPr>
      <t xml:space="preserve">Expectativas. </t>
    </r>
    <r>
      <rPr>
        <sz val="10"/>
        <rFont val="Arial"/>
        <family val="2"/>
      </rPr>
      <t xml:space="preserve"> As suas expectativas positivas estão exacerbadas para melhor?</t>
    </r>
  </si>
  <si>
    <r>
      <t xml:space="preserve">6. </t>
    </r>
    <r>
      <rPr>
        <b/>
        <sz val="10"/>
        <rFont val="Arial"/>
        <family val="2"/>
      </rPr>
      <t>Impetuosidades.</t>
    </r>
    <r>
      <rPr>
        <sz val="10"/>
        <rFont val="Arial"/>
        <family val="2"/>
      </rPr>
      <t xml:space="preserve">  Você passa por ímpetos, difíceis de serem contidos, de envolvimento físico e ternura contínua com a presença e a proximidade dessa pessoa?</t>
    </r>
  </si>
  <si>
    <r>
      <t xml:space="preserve">7. </t>
    </r>
    <r>
      <rPr>
        <b/>
        <sz val="10"/>
        <rFont val="Arial"/>
        <family val="2"/>
      </rPr>
      <t>Megaparaíso.</t>
    </r>
    <r>
      <rPr>
        <sz val="10"/>
        <rFont val="Arial"/>
        <family val="2"/>
      </rPr>
      <t xml:space="preserve"> Você vive no último céu,  com o megaparaíso na Terra e, se pudesse, faria as pedras chorarem de emoção?</t>
    </r>
  </si>
  <si>
    <r>
      <t xml:space="preserve">8. </t>
    </r>
    <r>
      <rPr>
        <b/>
        <sz val="10"/>
        <rFont val="Arial"/>
        <family val="2"/>
      </rPr>
      <t xml:space="preserve">Plenitude. </t>
    </r>
    <r>
      <rPr>
        <sz val="10"/>
        <rFont val="Arial"/>
        <family val="2"/>
      </rPr>
      <t>Você está de espírito desafogado, em um supremo estado de excitação, plenitude e bem-aventurança, em um nível sobre o qual jamais sonhara antes?</t>
    </r>
  </si>
  <si>
    <r>
      <t xml:space="preserve">9. </t>
    </r>
    <r>
      <rPr>
        <b/>
        <sz val="10"/>
        <rFont val="Arial"/>
        <family val="2"/>
      </rPr>
      <t>Presença.</t>
    </r>
    <r>
      <rPr>
        <sz val="10"/>
        <rFont val="Arial"/>
        <family val="2"/>
      </rPr>
      <t xml:space="preserve">  Você se sente como se o ar, a atmosfera e a própria luz do ambiente mudassem para melhor com a simples presença dessa pessoa?</t>
    </r>
  </si>
  <si>
    <r>
      <t xml:space="preserve">10. </t>
    </r>
    <r>
      <rPr>
        <b/>
        <sz val="10"/>
        <rFont val="Arial"/>
        <family val="2"/>
      </rPr>
      <t>Primener.</t>
    </r>
    <r>
      <rPr>
        <sz val="10"/>
        <rFont val="Arial"/>
        <family val="2"/>
      </rPr>
      <t xml:space="preserve">  Você contempla  tudo cor-de-rosa, vivendo no mundo encantado, mágico, da primener, desejando gritar de alegria para todos os seres vivos e a tudo contagiar?</t>
    </r>
  </si>
  <si>
    <r>
      <t xml:space="preserve">11. </t>
    </r>
    <r>
      <rPr>
        <b/>
        <sz val="10"/>
        <rFont val="Arial"/>
        <family val="2"/>
      </rPr>
      <t xml:space="preserve">Sensibilidade. </t>
    </r>
    <r>
      <rPr>
        <sz val="10"/>
        <rFont val="Arial"/>
        <family val="2"/>
      </rPr>
      <t xml:space="preserve"> Você acordou a própria sensibilidade, que estava adormecida - e não sabia - tocado nos pontos mais nevrálgicos da sua personalidade afetiva?</t>
    </r>
  </si>
  <si>
    <r>
      <t xml:space="preserve">12. </t>
    </r>
    <r>
      <rPr>
        <b/>
        <sz val="10"/>
        <rFont val="Arial"/>
        <family val="2"/>
      </rPr>
      <t>Sentimento.</t>
    </r>
    <r>
      <rPr>
        <sz val="10"/>
        <rFont val="Arial"/>
        <family val="2"/>
      </rPr>
      <t xml:space="preserve"> Você sente bem desse alguém, com todos os enternecimentos do mundo?</t>
    </r>
  </si>
  <si>
    <r>
      <t>13.</t>
    </r>
    <r>
      <rPr>
        <b/>
        <sz val="10"/>
        <rFont val="Arial"/>
        <family val="2"/>
      </rPr>
      <t xml:space="preserve"> Sincronicidades</t>
    </r>
    <r>
      <rPr>
        <sz val="10"/>
        <rFont val="Arial"/>
        <family val="2"/>
      </rPr>
      <t>.  Você percebe sincronicidades a respeito da  pessoa,  e até quanto ao nome dela, que se intensifica de maneira envolvente, por toda parte, em torno de você?</t>
    </r>
  </si>
  <si>
    <r>
      <t xml:space="preserve">14. </t>
    </r>
    <r>
      <rPr>
        <b/>
        <sz val="10"/>
        <rFont val="Arial"/>
        <family val="2"/>
      </rPr>
      <t>Ternura.</t>
    </r>
    <r>
      <rPr>
        <sz val="10"/>
        <rFont val="Arial"/>
        <family val="2"/>
      </rPr>
      <t xml:space="preserve"> Você se comove, com ternura insofreável, até o fundo de si, assoberbado pelas emoções mais felizes e mais sadias que não se lembra de ter experimentado antes?</t>
    </r>
  </si>
  <si>
    <r>
      <t xml:space="preserve">15. </t>
    </r>
    <r>
      <rPr>
        <b/>
        <sz val="10"/>
        <rFont val="Arial"/>
        <family val="2"/>
      </rPr>
      <t>Valorização.</t>
    </r>
    <r>
      <rPr>
        <sz val="10"/>
        <rFont val="Arial"/>
        <family val="2"/>
      </rPr>
      <t xml:space="preserve">  Ocorre para você uma valorização irreprimível, inédita e inesperada, dos objetos e seres do ambiente onde a pessoa esteve até há poucos instantes?   </t>
    </r>
  </si>
  <si>
    <t>Admiração</t>
  </si>
  <si>
    <t>Bem-estar</t>
  </si>
  <si>
    <t>Euforia</t>
  </si>
  <si>
    <t>Expectativas</t>
  </si>
  <si>
    <t>Impetuosidades</t>
  </si>
  <si>
    <t>Megaparaíso</t>
  </si>
  <si>
    <t>Plenitude</t>
  </si>
  <si>
    <t>Presença</t>
  </si>
  <si>
    <t>Sensibilidade</t>
  </si>
  <si>
    <t>Sentimento</t>
  </si>
  <si>
    <t>Sincronicidades</t>
  </si>
  <si>
    <t>Ternura</t>
  </si>
  <si>
    <t>Valorização</t>
  </si>
  <si>
    <t>do estado de amor consciencial puro</t>
  </si>
  <si>
    <t>O parceiro ou a  parceira da dupla evolutiva que sentir até as proximidades destas realidades descritas, aqui, em poucas palavras, está com a sua afetividade fisiológica e parafisiologicamente em seu mais alto grau de realização. Vale a pena, a esta altura, valorizar a união e buscar ao máximo amadurecê-la em ambos os parceiros, se for possível.</t>
  </si>
  <si>
    <t>Eis 7 perguntas pertinentes para a determinação e o desenvolvimento do nível da consciencialidade da dupla evolutiva, que podem ser mutuamente apresentadas - sem paixões, personalismos ou emulações doentias - pelos parceiros de alto nível de entendimento, desinibição e diálogo (DD):</t>
  </si>
  <si>
    <t>Homem</t>
  </si>
  <si>
    <t>Mulher</t>
  </si>
  <si>
    <r>
      <t xml:space="preserve">1. </t>
    </r>
    <r>
      <rPr>
        <b/>
        <sz val="10"/>
        <rFont val="Arial"/>
        <family val="2"/>
      </rPr>
      <t xml:space="preserve">Inteligência. </t>
    </r>
    <r>
      <rPr>
        <sz val="10"/>
        <rFont val="Arial"/>
      </rPr>
      <t xml:space="preserve"> Qual o módulo de inteligência predominante de cada um de nós na interação da dupla evolutiva?</t>
    </r>
  </si>
  <si>
    <r>
      <t xml:space="preserve">2. </t>
    </r>
    <r>
      <rPr>
        <b/>
        <sz val="10"/>
        <rFont val="Arial"/>
        <family val="2"/>
      </rPr>
      <t>Derivação.</t>
    </r>
    <r>
      <rPr>
        <sz val="10"/>
        <rFont val="Arial"/>
      </rPr>
      <t xml:space="preserve">  A inteligência predominante de cada um de nós é derivada especificamente do soma, do mentalsoma ou do holossoma?</t>
    </r>
  </si>
  <si>
    <r>
      <t xml:space="preserve">3. </t>
    </r>
    <r>
      <rPr>
        <b/>
        <sz val="10"/>
        <rFont val="Arial"/>
        <family val="2"/>
      </rPr>
      <t>Mentalsomática.</t>
    </r>
    <r>
      <rPr>
        <sz val="10"/>
        <rFont val="Arial"/>
      </rPr>
      <t xml:space="preserve"> Qual a cabeça mentalsomática (o autodiscernimento maior) de nossa dupla evolutiva?</t>
    </r>
  </si>
  <si>
    <r>
      <t xml:space="preserve">4. </t>
    </r>
    <r>
      <rPr>
        <b/>
        <sz val="10"/>
        <rFont val="Arial"/>
        <family val="2"/>
      </rPr>
      <t>Autorganização.</t>
    </r>
    <r>
      <rPr>
        <sz val="10"/>
        <rFont val="Arial"/>
      </rPr>
      <t xml:space="preserve">  Qual a  cabeça organizacional  (autorganização consciencial) de nossa dupla evolutiva?</t>
    </r>
  </si>
  <si>
    <r>
      <t xml:space="preserve">5. </t>
    </r>
    <r>
      <rPr>
        <b/>
        <sz val="10"/>
        <rFont val="Arial"/>
        <family val="2"/>
      </rPr>
      <t>Holochacralidade</t>
    </r>
    <r>
      <rPr>
        <sz val="10"/>
        <rFont val="Arial"/>
      </rPr>
      <t>.  Qual a  cabeça holochacral  (energética ou  a flexibilidade pessoal com as energias conscienciais) de nossa dupla evolutiva?</t>
    </r>
  </si>
  <si>
    <r>
      <t xml:space="preserve">6. </t>
    </r>
    <r>
      <rPr>
        <b/>
        <sz val="10"/>
        <rFont val="Arial"/>
        <family val="2"/>
      </rPr>
      <t>Holossomática.</t>
    </r>
    <r>
      <rPr>
        <sz val="10"/>
        <rFont val="Arial"/>
      </rPr>
      <t xml:space="preserve">  Qual a  cabeça holossomática  de nossa dupla evolutiva?</t>
    </r>
  </si>
  <si>
    <r>
      <t xml:space="preserve">7. </t>
    </r>
    <r>
      <rPr>
        <b/>
        <sz val="10"/>
        <rFont val="Arial"/>
        <family val="2"/>
      </rPr>
      <t>Traforismo.</t>
    </r>
    <r>
      <rPr>
        <sz val="10"/>
        <rFont val="Arial"/>
      </rPr>
      <t xml:space="preserve"> Qual o megatrafor de cada um de nós componentes da dupla evolutiva?  </t>
    </r>
  </si>
  <si>
    <t>NÍVEL DE CONSCIENCIALIDADE DA DUPLA EVOLUTIVA</t>
  </si>
  <si>
    <t xml:space="preserve">Pela recexologia, é sempre válido o parceiro da dupla evolutiva fazer, a si mesmo, uma pergunta de vez em quando: </t>
  </si>
  <si>
    <t>OS PARCEIROS DA DUPLA EVOLUTIVA</t>
  </si>
  <si>
    <t>TÊM DE ENFRENTAR TRABALHOS EM</t>
  </si>
  <si>
    <t>CONJUNTO E EM SEPARADO, MAS</t>
  </si>
  <si>
    <t>CONVERGENTES E INTEGRATIVOS.</t>
  </si>
  <si>
    <t>Você julga que há coerência entre as suas aspirações e a qualidade das suas ações? Você não acha necessário uma correção no curso de sua teática e na integração da sua verbação? Que tal analisar se não é conveniente um pouco mais de autocrítica no burilamento das aspirações?</t>
  </si>
  <si>
    <r>
      <t xml:space="preserve">CATEGORIAS DA RAIZ DO TEMPERAMENTO DO </t>
    </r>
    <r>
      <rPr>
        <b/>
        <sz val="14"/>
        <color rgb="FFFF0000"/>
        <rFont val="Arial"/>
        <family val="2"/>
      </rPr>
      <t>MULHER</t>
    </r>
  </si>
  <si>
    <r>
      <t xml:space="preserve">CATEGORIAS DA RAIZ DO TEMPERAMENTO DO </t>
    </r>
    <r>
      <rPr>
        <b/>
        <sz val="14"/>
        <color theme="3" tint="0.39997558519241921"/>
        <rFont val="Arial"/>
        <family val="2"/>
      </rPr>
      <t>HOMEM</t>
    </r>
  </si>
  <si>
    <r>
      <t xml:space="preserve">50 CATEGORIAS DO TEMPERAMENTO HUMANO - </t>
    </r>
    <r>
      <rPr>
        <b/>
        <sz val="14"/>
        <color theme="3" tint="0.39997558519241921"/>
        <rFont val="Arial"/>
        <family val="2"/>
      </rPr>
      <t>HOMEM</t>
    </r>
  </si>
  <si>
    <r>
      <t xml:space="preserve">50 CATEGORIAS DO TEMPERAMENTO HUMANO - </t>
    </r>
    <r>
      <rPr>
        <b/>
        <sz val="14"/>
        <color rgb="FFFF0000"/>
        <rFont val="Arial"/>
        <family val="2"/>
      </rPr>
      <t>MULHER</t>
    </r>
  </si>
  <si>
    <t>A cor verde (homeostático) e a cor vermelha (nosográfico), na variável, indica a convergência do temperamento da Dupla Evolutiva</t>
  </si>
  <si>
    <r>
      <t xml:space="preserve">Se o interessado ou interessada respondeu sim a, pelo menos, </t>
    </r>
    <r>
      <rPr>
        <b/>
        <sz val="11"/>
        <rFont val="Calibri"/>
        <family val="2"/>
      </rPr>
      <t>12 destas questões</t>
    </r>
    <r>
      <rPr>
        <sz val="11"/>
        <rFont val="Calibri"/>
        <family val="2"/>
      </rPr>
      <t>, a sua afetividade prática ou vivida,    é de bom nível conscienciológico, holossomático e parapsíquico.</t>
    </r>
  </si>
  <si>
    <r>
      <t xml:space="preserve">AUTENTICIDADE AFETIVA - </t>
    </r>
    <r>
      <rPr>
        <b/>
        <sz val="14"/>
        <color theme="3" tint="0.39997558519241921"/>
        <rFont val="Arial"/>
        <family val="2"/>
      </rPr>
      <t>HOMEM</t>
    </r>
  </si>
  <si>
    <r>
      <t xml:space="preserve">1. </t>
    </r>
    <r>
      <rPr>
        <b/>
        <sz val="11"/>
        <rFont val="Calibri"/>
        <family val="2"/>
      </rPr>
      <t xml:space="preserve">Acoplamento. </t>
    </r>
    <r>
      <rPr>
        <sz val="11"/>
        <rFont val="Calibri"/>
        <family val="2"/>
      </rPr>
      <t xml:space="preserve"> Já fiz acoplamento áurico diretamente com essa conscin-parceira?</t>
    </r>
  </si>
  <si>
    <r>
      <t xml:space="preserve">2. </t>
    </r>
    <r>
      <rPr>
        <b/>
        <sz val="11"/>
        <rFont val="Calibri"/>
        <family val="2"/>
      </rPr>
      <t xml:space="preserve">Alcova. </t>
    </r>
    <r>
      <rPr>
        <sz val="11"/>
        <rFont val="Calibri"/>
        <family val="2"/>
      </rPr>
      <t xml:space="preserve"> Mantenho sempre, de minha parte, a  blindagem energética de nossa alcova?</t>
    </r>
  </si>
  <si>
    <r>
      <t xml:space="preserve">3. </t>
    </r>
    <r>
      <rPr>
        <b/>
        <sz val="11"/>
        <rFont val="Calibri"/>
        <family val="2"/>
      </rPr>
      <t>Assédios.</t>
    </r>
    <r>
      <rPr>
        <sz val="11"/>
        <rFont val="Calibri"/>
        <family val="2"/>
      </rPr>
      <t xml:space="preserve"> Eu a assisto na superação de possíveis assédios inconscientes?</t>
    </r>
  </si>
  <si>
    <r>
      <t xml:space="preserve">4. </t>
    </r>
    <r>
      <rPr>
        <b/>
        <sz val="11"/>
        <rFont val="Calibri"/>
        <family val="2"/>
      </rPr>
      <t>Assins.</t>
    </r>
    <r>
      <rPr>
        <sz val="11"/>
        <rFont val="Calibri"/>
        <family val="2"/>
      </rPr>
      <t xml:space="preserve"> Promovo assimilações simpáticas (assins) com a intenção de auscultar-lhe as energias conscienciais e o nível da saúde?</t>
    </r>
  </si>
  <si>
    <r>
      <t xml:space="preserve">5. </t>
    </r>
    <r>
      <rPr>
        <b/>
        <sz val="11"/>
        <rFont val="Calibri"/>
        <family val="2"/>
      </rPr>
      <t>Carinho.</t>
    </r>
    <r>
      <rPr>
        <sz val="11"/>
        <rFont val="Calibri"/>
        <family val="2"/>
      </rPr>
      <t xml:space="preserve"> Ofereço-lhe carinho e atenção após instalar o estado vibracional profilático?</t>
    </r>
  </si>
  <si>
    <r>
      <t xml:space="preserve">6. </t>
    </r>
    <r>
      <rPr>
        <b/>
        <sz val="11"/>
        <rFont val="Calibri"/>
        <family val="2"/>
      </rPr>
      <t>Clarividências.</t>
    </r>
    <r>
      <rPr>
        <sz val="11"/>
        <rFont val="Calibri"/>
        <family val="2"/>
      </rPr>
      <t xml:space="preserve"> Patrocino clarividências faciais para minha companhia entrever a dimensão energética (dimener)?</t>
    </r>
  </si>
  <si>
    <r>
      <t xml:space="preserve">7. </t>
    </r>
    <r>
      <rPr>
        <b/>
        <sz val="11"/>
        <rFont val="Calibri"/>
        <family val="2"/>
      </rPr>
      <t>Cosmoconsciência.</t>
    </r>
    <r>
      <rPr>
        <sz val="11"/>
        <rFont val="Calibri"/>
        <family val="2"/>
      </rPr>
      <t xml:space="preserve"> Já contribuí, até agora, para fazê-la expandir a própria consciência?</t>
    </r>
  </si>
  <si>
    <r>
      <t xml:space="preserve">8. </t>
    </r>
    <r>
      <rPr>
        <b/>
        <sz val="11"/>
        <rFont val="Calibri"/>
        <family val="2"/>
      </rPr>
      <t>Descompensações.</t>
    </r>
    <r>
      <rPr>
        <sz val="11"/>
        <rFont val="Calibri"/>
        <family val="2"/>
      </rPr>
      <t xml:space="preserve"> Já identifiquei-lhe as descompensações sistêmicas de energia ou os seus bloqueios energéticos?</t>
    </r>
  </si>
  <si>
    <r>
      <t xml:space="preserve">9. </t>
    </r>
    <r>
      <rPr>
        <b/>
        <sz val="11"/>
        <rFont val="Calibri"/>
        <family val="2"/>
      </rPr>
      <t>EV.</t>
    </r>
    <r>
      <rPr>
        <sz val="11"/>
        <rFont val="Calibri"/>
        <family val="2"/>
      </rPr>
      <t xml:space="preserve"> Venho cooperando realmente para que ela domine, por si mesma, a instalação do estado vibracional (EV)?</t>
    </r>
  </si>
  <si>
    <r>
      <t xml:space="preserve">10. </t>
    </r>
    <r>
      <rPr>
        <b/>
        <sz val="11"/>
        <rFont val="Calibri"/>
        <family val="2"/>
      </rPr>
      <t>Holochacra.</t>
    </r>
    <r>
      <rPr>
        <sz val="11"/>
        <rFont val="Calibri"/>
        <family val="2"/>
      </rPr>
      <t xml:space="preserve"> Já a ajudei a equilibrar e flexibilizar  o próprio holochacra?</t>
    </r>
  </si>
  <si>
    <r>
      <t xml:space="preserve">11. </t>
    </r>
    <r>
      <rPr>
        <b/>
        <sz val="11"/>
        <rFont val="Calibri"/>
        <family val="2"/>
      </rPr>
      <t>Holorgasmo.</t>
    </r>
    <r>
      <rPr>
        <sz val="11"/>
        <rFont val="Calibri"/>
        <family val="2"/>
      </rPr>
      <t xml:space="preserve"> Já procurei dar-lhe, pelo menos, um holorgasmo (raro) até o momento?</t>
    </r>
  </si>
  <si>
    <r>
      <t xml:space="preserve">12. </t>
    </r>
    <r>
      <rPr>
        <b/>
        <sz val="11"/>
        <rFont val="Calibri"/>
        <family val="2"/>
      </rPr>
      <t>Isca.</t>
    </r>
    <r>
      <rPr>
        <sz val="11"/>
        <rFont val="Calibri"/>
        <family val="2"/>
      </rPr>
      <t xml:space="preserve"> Já servi de isca consciencial lúcida a fim de promover os desassédios dela?</t>
    </r>
  </si>
  <si>
    <r>
      <t xml:space="preserve">13. </t>
    </r>
    <r>
      <rPr>
        <b/>
        <sz val="11"/>
        <rFont val="Calibri"/>
        <family val="2"/>
      </rPr>
      <t>Objetos.</t>
    </r>
    <r>
      <rPr>
        <sz val="11"/>
        <rFont val="Calibri"/>
        <family val="2"/>
      </rPr>
      <t xml:space="preserve"> Já afastei dela possíveis objetos pessoais carregados de energias conscienciais nocivas?</t>
    </r>
  </si>
  <si>
    <r>
      <t xml:space="preserve">14. </t>
    </r>
    <r>
      <rPr>
        <b/>
        <sz val="11"/>
        <rFont val="Calibri"/>
        <family val="2"/>
      </rPr>
      <t xml:space="preserve">PC. </t>
    </r>
    <r>
      <rPr>
        <sz val="11"/>
        <rFont val="Calibri"/>
        <family val="2"/>
      </rPr>
      <t>Com os recursos de que disponho, já a ajudei a se projetar (projeção consciente ou PC) com lucidez, através do psicossoma, para outras dimensões conscienciais evoluídas e enriquecedoras?</t>
    </r>
  </si>
  <si>
    <r>
      <t xml:space="preserve">15. </t>
    </r>
    <r>
      <rPr>
        <b/>
        <sz val="11"/>
        <rFont val="Calibri"/>
        <family val="2"/>
      </rPr>
      <t xml:space="preserve">PCC. </t>
    </r>
    <r>
      <rPr>
        <sz val="11"/>
        <rFont val="Calibri"/>
        <family val="2"/>
      </rPr>
      <t xml:space="preserve"> Já consegui produzir uma projeção consciente conjunta (PCC) com ela?</t>
    </r>
  </si>
  <si>
    <r>
      <t xml:space="preserve">16. </t>
    </r>
    <r>
      <rPr>
        <b/>
        <sz val="11"/>
        <rFont val="Calibri"/>
        <family val="2"/>
      </rPr>
      <t>Porão.</t>
    </r>
    <r>
      <rPr>
        <sz val="11"/>
        <rFont val="Calibri"/>
        <family val="2"/>
      </rPr>
      <t xml:space="preserve"> Já facilitei-lhe a libertação do porão consciencial e do subcérebro abdominal?</t>
    </r>
  </si>
  <si>
    <r>
      <t xml:space="preserve">17. </t>
    </r>
    <r>
      <rPr>
        <b/>
        <sz val="11"/>
        <rFont val="Calibri"/>
        <family val="2"/>
      </rPr>
      <t>Presente.</t>
    </r>
    <r>
      <rPr>
        <sz val="11"/>
        <rFont val="Calibri"/>
        <family val="2"/>
      </rPr>
      <t xml:space="preserve"> Já presenteei-lhe com algum objeto pessoal que constitua elemento positivo de  rapport  energético entre nós dois?</t>
    </r>
  </si>
  <si>
    <r>
      <t xml:space="preserve">18. </t>
    </r>
    <r>
      <rPr>
        <b/>
        <sz val="11"/>
        <rFont val="Calibri"/>
        <family val="2"/>
      </rPr>
      <t>Primener.</t>
    </r>
    <r>
      <rPr>
        <sz val="11"/>
        <rFont val="Calibri"/>
        <family val="2"/>
      </rPr>
      <t xml:space="preserve"> Já identifiquei-lhe algum possível surto sadio de primener?</t>
    </r>
  </si>
  <si>
    <r>
      <t xml:space="preserve">19. </t>
    </r>
    <r>
      <rPr>
        <b/>
        <sz val="11"/>
        <rFont val="Calibri"/>
        <family val="2"/>
      </rPr>
      <t>Proéxis.</t>
    </r>
    <r>
      <rPr>
        <sz val="11"/>
        <rFont val="Calibri"/>
        <family val="2"/>
      </rPr>
      <t xml:space="preserve"> Tenho apoiado, com boa vontade e eficiência, sem competitividade, o ajuste consciente dela à proéxis?</t>
    </r>
  </si>
  <si>
    <r>
      <t xml:space="preserve">20. </t>
    </r>
    <r>
      <rPr>
        <b/>
        <sz val="11"/>
        <rFont val="Calibri"/>
        <family val="2"/>
      </rPr>
      <t xml:space="preserve">Projetarium. </t>
    </r>
    <r>
      <rPr>
        <sz val="11"/>
        <rFont val="Calibri"/>
        <family val="2"/>
      </rPr>
      <t>Já preparei-lhe e mantenho para ela um projetarium técnico e eficaz?</t>
    </r>
  </si>
  <si>
    <r>
      <t xml:space="preserve">21. </t>
    </r>
    <r>
      <rPr>
        <b/>
        <sz val="11"/>
        <rFont val="Calibri"/>
        <family val="2"/>
      </rPr>
      <t>Recéxis.</t>
    </r>
    <r>
      <rPr>
        <sz val="11"/>
        <rFont val="Calibri"/>
        <family val="2"/>
      </rPr>
      <t xml:space="preserve"> Já cedi tudo o que posso para que ela alcance êxito na execução da recéxis ou da invéxis?  </t>
    </r>
  </si>
  <si>
    <r>
      <t>23.</t>
    </r>
    <r>
      <rPr>
        <b/>
        <sz val="11"/>
        <rFont val="Calibri"/>
        <family val="2"/>
      </rPr>
      <t xml:space="preserve"> Sinalética. </t>
    </r>
    <r>
      <rPr>
        <sz val="11"/>
        <rFont val="Calibri"/>
        <family val="2"/>
      </rPr>
      <t xml:space="preserve"> Já apontei-lhe pistas para ela identificar, por si própria e em si mesma, a sinalética energética, intraconsciencial e parapsíquica pessoal?</t>
    </r>
  </si>
  <si>
    <r>
      <t xml:space="preserve">24. </t>
    </r>
    <r>
      <rPr>
        <b/>
        <sz val="11"/>
        <rFont val="Calibri"/>
        <family val="2"/>
      </rPr>
      <t xml:space="preserve">Trafares. </t>
    </r>
    <r>
      <rPr>
        <sz val="11"/>
        <rFont val="Calibri"/>
        <family val="2"/>
      </rPr>
      <t>Já forneci a ela a lista dos meus megatrafares pessoais, ou os trafares que consegui identificar em mim mesmo, até o momento, pedindo-lhe ajuda para eu melhorar-me  para ela  e em função dela?</t>
    </r>
  </si>
  <si>
    <r>
      <t xml:space="preserve">25. </t>
    </r>
    <r>
      <rPr>
        <b/>
        <sz val="11"/>
        <rFont val="Calibri"/>
        <family val="2"/>
      </rPr>
      <t>Trafores.</t>
    </r>
    <r>
      <rPr>
        <sz val="11"/>
        <rFont val="Calibri"/>
        <family val="2"/>
      </rPr>
      <t xml:space="preserve"> Já fiz uma exposição sincera dos megatrafores, ou trafores que já identifiquei nela ou dela, a fim de que ela os empregue no combate aos seus trafares pessoais?</t>
    </r>
  </si>
  <si>
    <r>
      <t xml:space="preserve">AUTENTICIDADE AFETIVA - </t>
    </r>
    <r>
      <rPr>
        <b/>
        <sz val="14"/>
        <color rgb="FFFF0000"/>
        <rFont val="Arial"/>
        <family val="2"/>
      </rPr>
      <t>MULHER</t>
    </r>
  </si>
  <si>
    <r>
      <t xml:space="preserve">1. </t>
    </r>
    <r>
      <rPr>
        <b/>
        <sz val="11"/>
        <rFont val="Calibri"/>
        <family val="2"/>
      </rPr>
      <t>Acoplamento.</t>
    </r>
    <r>
      <rPr>
        <sz val="11"/>
        <rFont val="Calibri"/>
        <family val="2"/>
      </rPr>
      <t xml:space="preserve">  Já fiz acoplamento áurico diretamente com essa conscin-parceira?</t>
    </r>
  </si>
  <si>
    <r>
      <t xml:space="preserve">2. </t>
    </r>
    <r>
      <rPr>
        <b/>
        <sz val="11"/>
        <rFont val="Calibri"/>
        <family val="2"/>
      </rPr>
      <t>Alcova.</t>
    </r>
    <r>
      <rPr>
        <sz val="11"/>
        <rFont val="Calibri"/>
        <family val="2"/>
      </rPr>
      <t xml:space="preserve">  Mantenho sempre, de minha parte, a  blindagem energética de nossa alcova?</t>
    </r>
  </si>
  <si>
    <r>
      <t>3.</t>
    </r>
    <r>
      <rPr>
        <b/>
        <sz val="11"/>
        <rFont val="Calibri"/>
        <family val="2"/>
      </rPr>
      <t xml:space="preserve"> Assédios.</t>
    </r>
    <r>
      <rPr>
        <sz val="11"/>
        <rFont val="Calibri"/>
        <family val="2"/>
      </rPr>
      <t xml:space="preserve"> Eu a assisto na superação de possíveis assédios inconscientes?</t>
    </r>
  </si>
  <si>
    <r>
      <t xml:space="preserve">4. </t>
    </r>
    <r>
      <rPr>
        <b/>
        <sz val="11"/>
        <rFont val="Calibri"/>
        <family val="2"/>
      </rPr>
      <t xml:space="preserve">Assins. </t>
    </r>
    <r>
      <rPr>
        <sz val="11"/>
        <rFont val="Calibri"/>
        <family val="2"/>
      </rPr>
      <t>Promovo assimilações simpáticas (assins) com a intenção de auscultar-lhe as energias conscienciais e o nível da saúde?</t>
    </r>
  </si>
  <si>
    <r>
      <t>9.</t>
    </r>
    <r>
      <rPr>
        <b/>
        <sz val="11"/>
        <rFont val="Calibri"/>
        <family val="2"/>
      </rPr>
      <t xml:space="preserve"> EV.</t>
    </r>
    <r>
      <rPr>
        <sz val="11"/>
        <rFont val="Calibri"/>
        <family val="2"/>
      </rPr>
      <t xml:space="preserve"> Venho cooperando realmente para que ela domine, por si mesma, a instalação do estado vibracional (EV)?</t>
    </r>
  </si>
  <si>
    <r>
      <t xml:space="preserve">14. </t>
    </r>
    <r>
      <rPr>
        <b/>
        <sz val="11"/>
        <rFont val="Calibri"/>
        <family val="2"/>
      </rPr>
      <t>PC.</t>
    </r>
    <r>
      <rPr>
        <sz val="11"/>
        <rFont val="Calibri"/>
        <family val="2"/>
      </rPr>
      <t xml:space="preserve"> Com os recursos de que disponho, já a ajudei a se projetar (projeção consciente ou PC) com lucidez, através do psicossoma, para outras dimensões conscienciais evoluídas e enriquecedoras?</t>
    </r>
  </si>
  <si>
    <r>
      <t xml:space="preserve">15. </t>
    </r>
    <r>
      <rPr>
        <b/>
        <sz val="11"/>
        <rFont val="Calibri"/>
        <family val="2"/>
      </rPr>
      <t>PCC.</t>
    </r>
    <r>
      <rPr>
        <sz val="11"/>
        <rFont val="Calibri"/>
        <family val="2"/>
      </rPr>
      <t xml:space="preserve">  Já consegui produzir uma projeção consciente conjunta (PCC) com ela?</t>
    </r>
  </si>
  <si>
    <r>
      <t>16.</t>
    </r>
    <r>
      <rPr>
        <b/>
        <sz val="11"/>
        <rFont val="Calibri"/>
        <family val="2"/>
      </rPr>
      <t xml:space="preserve"> Porão.</t>
    </r>
    <r>
      <rPr>
        <sz val="11"/>
        <rFont val="Calibri"/>
        <family val="2"/>
      </rPr>
      <t xml:space="preserve"> Já facilitei-lhe a libertação do porão consciencial e do subcérebro abdominal?</t>
    </r>
  </si>
  <si>
    <r>
      <t xml:space="preserve">19. </t>
    </r>
    <r>
      <rPr>
        <b/>
        <sz val="11"/>
        <rFont val="Calibri"/>
        <family val="2"/>
      </rPr>
      <t xml:space="preserve">Proéxis. </t>
    </r>
    <r>
      <rPr>
        <sz val="11"/>
        <rFont val="Calibri"/>
        <family val="2"/>
      </rPr>
      <t>Tenho apoiado, com boa vontade e eficiência, sem competitividade, o ajuste consciente dela à proéxis?</t>
    </r>
  </si>
  <si>
    <r>
      <t xml:space="preserve">20. </t>
    </r>
    <r>
      <rPr>
        <b/>
        <sz val="11"/>
        <rFont val="Calibri"/>
        <family val="2"/>
      </rPr>
      <t>Projetarium.</t>
    </r>
    <r>
      <rPr>
        <sz val="11"/>
        <rFont val="Calibri"/>
        <family val="2"/>
      </rPr>
      <t xml:space="preserve"> Já preparei-lhe e mantenho para ela um projetarium técnico e eficaz?</t>
    </r>
  </si>
  <si>
    <r>
      <t>21.</t>
    </r>
    <r>
      <rPr>
        <b/>
        <sz val="11"/>
        <rFont val="Calibri"/>
        <family val="2"/>
      </rPr>
      <t xml:space="preserve"> Recéxis.</t>
    </r>
    <r>
      <rPr>
        <sz val="11"/>
        <rFont val="Calibri"/>
        <family val="2"/>
      </rPr>
      <t xml:space="preserve"> Já cedi tudo o que posso para que ela alcance êxito na execução da recéxis ou da invéxis?  </t>
    </r>
  </si>
  <si>
    <r>
      <t xml:space="preserve">22. </t>
    </r>
    <r>
      <rPr>
        <b/>
        <sz val="11"/>
        <rFont val="Calibri"/>
        <family val="2"/>
      </rPr>
      <t>Sexualidade.</t>
    </r>
    <r>
      <rPr>
        <sz val="11"/>
        <rFont val="Calibri"/>
        <family val="2"/>
      </rPr>
      <t xml:space="preserve">  Venho fazendo amor diariamente, quando possível, com ela, a fim de mantê-la sem carência sexual e afetiva?</t>
    </r>
  </si>
  <si>
    <r>
      <t xml:space="preserve">23. </t>
    </r>
    <r>
      <rPr>
        <b/>
        <sz val="11"/>
        <rFont val="Calibri"/>
        <family val="2"/>
      </rPr>
      <t xml:space="preserve">Sinalética. </t>
    </r>
    <r>
      <rPr>
        <sz val="11"/>
        <rFont val="Calibri"/>
        <family val="2"/>
      </rPr>
      <t xml:space="preserve"> Já apontei-lhe pistas para ela identificar, por si própria e em si mesma, a sinalética energética, intraconsciencial e parapsíquica pessoal?</t>
    </r>
  </si>
  <si>
    <r>
      <t xml:space="preserve">24. </t>
    </r>
    <r>
      <rPr>
        <b/>
        <sz val="11"/>
        <rFont val="Calibri"/>
        <family val="2"/>
      </rPr>
      <t>Trafares</t>
    </r>
    <r>
      <rPr>
        <sz val="11"/>
        <rFont val="Calibri"/>
        <family val="2"/>
      </rPr>
      <t>. Já forneci a ela a lista dos meus megatrafares pessoais, ou os trafares que consegui identificar em mim mesmo, até o momento, pedindo-lhe ajuda para eu melhorar-me  para ela  e em função dela?</t>
    </r>
  </si>
  <si>
    <r>
      <t xml:space="preserve">Se o interessado ou interessada respondeu sim a, pelo menos, </t>
    </r>
    <r>
      <rPr>
        <b/>
        <sz val="11"/>
        <rFont val="Calibri"/>
        <family val="2"/>
      </rPr>
      <t>12 destas questões</t>
    </r>
    <r>
      <rPr>
        <sz val="11"/>
        <rFont val="Calibri"/>
        <family val="2"/>
      </rPr>
      <t>, a sua afetividade prática ou vivida,  é de bom nível conscienciológico, holossomático e parapsíquico.</t>
    </r>
  </si>
  <si>
    <t>COMPARATIVO DA AUTENCIDADE AFETIVA DA DUPLA</t>
  </si>
  <si>
    <t>Em caso positivo, marque com "x", na coluna "Assinalar", a questão correspondente.</t>
  </si>
  <si>
    <r>
      <t xml:space="preserve">Se você compõe com alguém uma dupla evolutiva com </t>
    </r>
    <r>
      <rPr>
        <b/>
        <sz val="10"/>
        <rFont val="Arial"/>
        <family val="2"/>
      </rPr>
      <t>10 destes itens ideais</t>
    </r>
    <r>
      <rPr>
        <sz val="10"/>
        <rFont val="Arial"/>
      </rPr>
      <t>, a possibilidade de êxito do seu convívio libertário, em dupla, está assegurada.</t>
    </r>
  </si>
  <si>
    <t>Aplicabilidade média das ideias básicas  é de</t>
  </si>
  <si>
    <t>Ideias básicas com 100% são</t>
  </si>
  <si>
    <r>
      <t xml:space="preserve">ESTADO DO AMOR CONSCIENCIAL PURO - </t>
    </r>
    <r>
      <rPr>
        <b/>
        <sz val="14"/>
        <color theme="3" tint="0.39997558519241921"/>
        <rFont val="Arial"/>
        <family val="2"/>
      </rPr>
      <t>HOMEM</t>
    </r>
  </si>
  <si>
    <r>
      <t xml:space="preserve">ESTADO DO AMOR CONSCIENCIAL PURO - </t>
    </r>
    <r>
      <rPr>
        <b/>
        <sz val="14"/>
        <color rgb="FFFF0000"/>
        <rFont val="Arial"/>
        <family val="2"/>
      </rPr>
      <t>MULHER</t>
    </r>
  </si>
  <si>
    <t>COMPARATIVO DO ESTADO DO AMOR CONSCIENCIAL PURO DA DUPLA EVOLUTIVA</t>
  </si>
  <si>
    <r>
      <t xml:space="preserve">Uma dupla evolutiva madura só é formada sobre os pilares sólidos da </t>
    </r>
    <r>
      <rPr>
        <b/>
        <sz val="10"/>
        <rFont val="Arial"/>
        <family val="2"/>
      </rPr>
      <t>maturidade consciencial</t>
    </r>
    <r>
      <rPr>
        <sz val="10"/>
        <rFont val="Arial"/>
        <family val="2"/>
      </rPr>
      <t xml:space="preserve">. </t>
    </r>
  </si>
  <si>
    <t>Qual o meu saldo evolutivo, cosmoético, grupocármico, na condição de componente de minha dupla evolutiva?</t>
  </si>
  <si>
    <t>ORIENTAÇÕES GERAIS PARA PREENCHIMENTO DA PLANILHA DA DUPLA EVOLUTIVA</t>
  </si>
  <si>
    <t>2. Sugerimos a leitura desse material para melhor entendimento da planilha.</t>
  </si>
  <si>
    <r>
      <rPr>
        <i/>
        <sz val="10"/>
        <rFont val="Arial"/>
        <family val="2"/>
      </rPr>
      <t>Download</t>
    </r>
    <r>
      <rPr>
        <sz val="10"/>
        <rFont val="Arial"/>
        <family val="2"/>
      </rPr>
      <t xml:space="preserve"> do verbete:</t>
    </r>
  </si>
  <si>
    <r>
      <rPr>
        <i/>
        <sz val="10"/>
        <rFont val="Arial"/>
        <family val="2"/>
      </rPr>
      <t>Download</t>
    </r>
    <r>
      <rPr>
        <sz val="10"/>
        <rFont val="Arial"/>
        <family val="2"/>
      </rPr>
      <t xml:space="preserve"> do livro:</t>
    </r>
  </si>
  <si>
    <t>DUPLA EVOLUTIVA</t>
  </si>
  <si>
    <t xml:space="preserve">RAIZ DO TEMPERAMENTO </t>
  </si>
  <si>
    <t>3. A planilha está distribuida em 18 etapas, sendo as 7 primeiras etapas relacionadas ao verbete Raiz do Temperamento e as demais etapas ao livro da Dupla Evolutiva.</t>
  </si>
  <si>
    <t>1. Essa a planilha foi elaborada a partir do verbete da Enciclopédia da Conscienciologia e do livro Manual da Dupla Evolutiva.</t>
  </si>
  <si>
    <r>
      <rPr>
        <b/>
        <sz val="10"/>
        <rFont val="Arial"/>
        <family val="2"/>
      </rPr>
      <t>Constância.</t>
    </r>
    <r>
      <rPr>
        <sz val="10"/>
        <rFont val="Arial"/>
      </rPr>
      <t xml:space="preserve"> Em uma avaliação autocrítica, vale o esforço de o parceiro (ou a parceira) da dupla evolutiva fazer uma pergunta relevante: </t>
    </r>
  </si>
  <si>
    <t>Quais são minhas relações afetivas puras em confronto com a  constância monogâmica evoluída (dupla evolutiva) e a inconstância poligâmica imatura (divórcios, desquites, separações)?</t>
  </si>
  <si>
    <t>Responda aqui...........</t>
  </si>
  <si>
    <t xml:space="preserve">Pela parassociologia, importa ao parceiro (ou parceira) da dupla evolutiva fazer uma pergunta pertinente: </t>
  </si>
  <si>
    <t>Quais as influências boas ou indignas da parentela do meu parceiro (ou parceira) sobre mim?</t>
  </si>
  <si>
    <r>
      <t xml:space="preserve">QUESTIONOLOGIA 2 - </t>
    </r>
    <r>
      <rPr>
        <b/>
        <sz val="14"/>
        <color theme="3" tint="0.39997558519241921"/>
        <rFont val="Arial"/>
        <family val="2"/>
      </rPr>
      <t>HOMEM</t>
    </r>
  </si>
  <si>
    <r>
      <t xml:space="preserve">QUESTIONOLOGIA 2 - </t>
    </r>
    <r>
      <rPr>
        <b/>
        <sz val="14"/>
        <color rgb="FFFF0000"/>
        <rFont val="Arial"/>
        <family val="2"/>
      </rPr>
      <t>MULHER</t>
    </r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</si>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</sst>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0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u/>
      <sz val="10"/>
      <color theme="10"/>
      <name val="Arial"/>
    </font>
    <font>
      <b/>
      <sz val="10"/>
      <color theme="3" tint="0.39997558519241921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color theme="0"/>
      <name val="Arial"/>
      <family val="2"/>
    </font>
    <font>
      <i/>
      <sz val="9"/>
      <name val="Arial"/>
      <family val="2"/>
    </font>
    <font>
      <b/>
      <sz val="11"/>
      <color theme="0"/>
      <name val="Arial"/>
      <family val="2"/>
    </font>
    <font>
      <b/>
      <sz val="11"/>
      <name val="Calibri"/>
      <family val="2"/>
    </font>
    <font>
      <sz val="8"/>
      <color indexed="81"/>
      <name val="Tahoma"/>
      <charset val="1"/>
    </font>
    <font>
      <sz val="8"/>
      <color indexed="81"/>
      <name val="Tahoma"/>
      <family val="2"/>
    </font>
    <font>
      <i/>
      <sz val="16"/>
      <name val="Arial"/>
      <family val="2"/>
    </font>
    <font>
      <b/>
      <i/>
      <sz val="16"/>
      <name val="Arial"/>
      <family val="2"/>
    </font>
    <font>
      <b/>
      <sz val="14"/>
      <color theme="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1"/>
      <name val="Calibri"/>
      <family val="2"/>
    </font>
    <font>
      <b/>
      <sz val="12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color rgb="FFFF000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8"/>
      <name val="Arial"/>
      <family val="2"/>
    </font>
    <font>
      <sz val="10"/>
      <name val="Arial"/>
    </font>
    <font>
      <sz val="8"/>
      <name val="Arial"/>
      <family val="2"/>
    </font>
    <font>
      <b/>
      <sz val="11"/>
      <color rgb="FFFF0000"/>
      <name val="Arial"/>
      <family val="2"/>
    </font>
    <font>
      <sz val="11"/>
      <color theme="0"/>
      <name val="Arial"/>
      <family val="2"/>
    </font>
    <font>
      <b/>
      <i/>
      <sz val="18"/>
      <name val="Arial"/>
      <family val="2"/>
    </font>
    <font>
      <b/>
      <sz val="14"/>
      <color theme="3" tint="0.39997558519241921"/>
      <name val="Arial"/>
      <family val="2"/>
    </font>
    <font>
      <b/>
      <sz val="14"/>
      <color theme="4" tint="-0.249977111117893"/>
      <name val="Arial"/>
      <family val="2"/>
    </font>
    <font>
      <b/>
      <sz val="12"/>
      <color theme="1"/>
      <name val="Arial"/>
      <family val="2"/>
    </font>
    <font>
      <sz val="11"/>
      <color theme="0"/>
      <name val="Calibri"/>
      <family val="2"/>
    </font>
    <font>
      <sz val="10"/>
      <color theme="3" tint="-0.249977111117893"/>
      <name val="Arial"/>
      <family val="2"/>
    </font>
    <font>
      <b/>
      <sz val="11"/>
      <color theme="4" tint="-0.249977111117893"/>
      <name val="Arial"/>
      <family val="2"/>
    </font>
    <font>
      <b/>
      <sz val="10"/>
      <color rgb="FF0070C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/>
      <right/>
      <top style="dashed">
        <color auto="1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dashed">
        <color auto="1"/>
      </right>
      <top/>
      <bottom style="medium">
        <color rgb="FFFF0000"/>
      </bottom>
      <diagonal/>
    </border>
    <border>
      <left/>
      <right/>
      <top style="medium">
        <color rgb="FFFF0000"/>
      </top>
      <bottom/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</borders>
  <cellStyleXfs count="4">
    <xf numFmtId="0" fontId="0" fillId="0" borderId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28" fillId="0" borderId="0" applyFont="0" applyFill="0" applyBorder="0" applyAlignment="0" applyProtection="0"/>
  </cellStyleXfs>
  <cellXfs count="27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center"/>
    </xf>
    <xf numFmtId="0" fontId="1" fillId="3" borderId="3" xfId="0" applyFont="1" applyFill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6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3" xfId="0" applyFont="1" applyFill="1" applyBorder="1" applyAlignment="1">
      <alignment vertical="center"/>
    </xf>
    <xf numFmtId="0" fontId="1" fillId="3" borderId="3" xfId="0" applyFont="1" applyFill="1" applyBorder="1"/>
    <xf numFmtId="0" fontId="1" fillId="4" borderId="4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right" vertical="center"/>
    </xf>
    <xf numFmtId="0" fontId="1" fillId="6" borderId="3" xfId="0" applyFont="1" applyFill="1" applyBorder="1" applyAlignment="1">
      <alignment vertical="center"/>
    </xf>
    <xf numFmtId="0" fontId="1" fillId="6" borderId="3" xfId="0" applyFont="1" applyFill="1" applyBorder="1"/>
    <xf numFmtId="0" fontId="0" fillId="3" borderId="0" xfId="0" applyFill="1"/>
    <xf numFmtId="0" fontId="1" fillId="0" borderId="3" xfId="0" applyFont="1" applyBorder="1" applyAlignment="1">
      <alignment horizontal="right" vertical="center" wrapText="1"/>
    </xf>
    <xf numFmtId="0" fontId="0" fillId="3" borderId="0" xfId="0" applyFill="1" applyAlignment="1">
      <alignment horizontal="center"/>
    </xf>
    <xf numFmtId="0" fontId="0" fillId="3" borderId="5" xfId="0" applyFill="1" applyBorder="1"/>
    <xf numFmtId="0" fontId="0" fillId="6" borderId="0" xfId="0" applyFill="1" applyAlignment="1">
      <alignment horizontal="center"/>
    </xf>
    <xf numFmtId="0" fontId="0" fillId="6" borderId="0" xfId="0" applyFill="1"/>
    <xf numFmtId="0" fontId="1" fillId="6" borderId="6" xfId="0" applyFont="1" applyFill="1" applyBorder="1"/>
    <xf numFmtId="0" fontId="0" fillId="6" borderId="5" xfId="0" applyFill="1" applyBorder="1"/>
    <xf numFmtId="0" fontId="0" fillId="2" borderId="0" xfId="0" applyFill="1"/>
    <xf numFmtId="0" fontId="1" fillId="2" borderId="1" xfId="0" applyFont="1" applyFill="1" applyBorder="1"/>
    <xf numFmtId="0" fontId="1" fillId="7" borderId="8" xfId="0" applyFont="1" applyFill="1" applyBorder="1"/>
    <xf numFmtId="0" fontId="0" fillId="7" borderId="7" xfId="0" applyFill="1" applyBorder="1"/>
    <xf numFmtId="0" fontId="0" fillId="7" borderId="0" xfId="0" applyFill="1"/>
    <xf numFmtId="0" fontId="0" fillId="7" borderId="5" xfId="0" applyFill="1" applyBorder="1"/>
    <xf numFmtId="0" fontId="1" fillId="5" borderId="8" xfId="0" applyFont="1" applyFill="1" applyBorder="1"/>
    <xf numFmtId="0" fontId="0" fillId="5" borderId="7" xfId="0" applyFill="1" applyBorder="1"/>
    <xf numFmtId="0" fontId="0" fillId="5" borderId="0" xfId="0" applyFill="1"/>
    <xf numFmtId="0" fontId="0" fillId="5" borderId="5" xfId="0" applyFill="1" applyBorder="1"/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1" fillId="0" borderId="3" xfId="0" applyFont="1" applyBorder="1" applyAlignment="1" applyProtection="1">
      <alignment vertical="center"/>
      <protection locked="0"/>
    </xf>
    <xf numFmtId="0" fontId="1" fillId="0" borderId="3" xfId="0" applyFont="1" applyBorder="1" applyAlignment="1" applyProtection="1">
      <alignment horizontal="right" vertical="center" wrapText="1"/>
      <protection locked="0"/>
    </xf>
    <xf numFmtId="0" fontId="1" fillId="0" borderId="3" xfId="0" applyFont="1" applyBorder="1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right" vertical="center"/>
      <protection locked="0"/>
    </xf>
    <xf numFmtId="0" fontId="2" fillId="0" borderId="2" xfId="0" applyFont="1" applyBorder="1" applyAlignment="1" applyProtection="1">
      <alignment horizontal="left" vertical="top" wrapText="1"/>
      <protection locked="0"/>
    </xf>
    <xf numFmtId="0" fontId="0" fillId="0" borderId="2" xfId="0" applyBorder="1" applyAlignment="1" applyProtection="1">
      <alignment horizontal="left" vertical="top" wrapText="1"/>
      <protection locked="0"/>
    </xf>
    <xf numFmtId="0" fontId="2" fillId="3" borderId="3" xfId="0" applyFont="1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top" wrapText="1"/>
    </xf>
    <xf numFmtId="0" fontId="1" fillId="6" borderId="0" xfId="0" applyFont="1" applyFill="1" applyAlignment="1">
      <alignment horizontal="left" vertical="top"/>
    </xf>
    <xf numFmtId="0" fontId="2" fillId="6" borderId="3" xfId="0" applyFont="1" applyFill="1" applyBorder="1" applyAlignment="1">
      <alignment horizontal="left" vertical="top" wrapText="1"/>
    </xf>
    <xf numFmtId="0" fontId="0" fillId="6" borderId="3" xfId="0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7" borderId="8" xfId="0" applyFill="1" applyBorder="1" applyAlignment="1">
      <alignment horizontal="left" vertical="top" wrapText="1"/>
    </xf>
    <xf numFmtId="0" fontId="0" fillId="7" borderId="0" xfId="0" applyFill="1" applyAlignment="1">
      <alignment horizontal="left" vertical="top" wrapText="1"/>
    </xf>
    <xf numFmtId="0" fontId="0" fillId="7" borderId="5" xfId="0" applyFill="1" applyBorder="1" applyAlignment="1">
      <alignment horizontal="left" vertical="top" wrapText="1"/>
    </xf>
    <xf numFmtId="0" fontId="0" fillId="5" borderId="8" xfId="0" applyFill="1" applyBorder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5" borderId="5" xfId="0" applyFill="1" applyBorder="1" applyAlignment="1">
      <alignment horizontal="left" vertical="top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horizontal="right"/>
    </xf>
    <xf numFmtId="0" fontId="8" fillId="0" borderId="0" xfId="0" applyFont="1"/>
    <xf numFmtId="0" fontId="6" fillId="0" borderId="9" xfId="0" applyFont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7" fillId="0" borderId="0" xfId="0" applyFont="1"/>
    <xf numFmtId="0" fontId="6" fillId="10" borderId="0" xfId="0" applyFont="1" applyFill="1"/>
    <xf numFmtId="0" fontId="7" fillId="0" borderId="1" xfId="0" applyFont="1" applyBorder="1" applyAlignment="1" applyProtection="1">
      <alignment horizontal="left" vertical="top" wrapText="1"/>
      <protection locked="0"/>
    </xf>
    <xf numFmtId="0" fontId="14" fillId="10" borderId="0" xfId="0" applyFont="1" applyFill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11" borderId="7" xfId="0" applyFont="1" applyFill="1" applyBorder="1" applyAlignment="1" applyProtection="1">
      <alignment horizontal="center" vertical="center"/>
      <protection locked="0"/>
    </xf>
    <xf numFmtId="0" fontId="1" fillId="11" borderId="0" xfId="0" applyFont="1" applyFill="1" applyAlignment="1" applyProtection="1">
      <alignment horizontal="center" vertical="center"/>
      <protection locked="0"/>
    </xf>
    <xf numFmtId="0" fontId="1" fillId="12" borderId="0" xfId="0" applyFont="1" applyFill="1" applyAlignment="1" applyProtection="1">
      <alignment horizontal="center" vertical="center"/>
      <protection locked="0"/>
    </xf>
    <xf numFmtId="0" fontId="1" fillId="6" borderId="5" xfId="0" applyFont="1" applyFill="1" applyBorder="1" applyAlignment="1" applyProtection="1">
      <alignment horizontal="center" vertical="center"/>
      <protection locked="0"/>
    </xf>
    <xf numFmtId="0" fontId="1" fillId="12" borderId="0" xfId="0" applyFont="1" applyFill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13" borderId="0" xfId="0" applyFont="1" applyFill="1" applyAlignment="1" applyProtection="1">
      <alignment horizontal="center" vertical="center"/>
      <protection locked="0"/>
    </xf>
    <xf numFmtId="0" fontId="1" fillId="16" borderId="0" xfId="0" applyFont="1" applyFill="1" applyAlignment="1" applyProtection="1">
      <alignment horizontal="center" vertical="center"/>
      <protection locked="0"/>
    </xf>
    <xf numFmtId="0" fontId="1" fillId="16" borderId="0" xfId="0" applyFont="1" applyFill="1" applyAlignment="1" applyProtection="1">
      <alignment horizontal="center" vertical="center" wrapText="1"/>
      <protection locked="0"/>
    </xf>
    <xf numFmtId="0" fontId="1" fillId="14" borderId="0" xfId="0" applyFont="1" applyFill="1" applyAlignment="1" applyProtection="1">
      <alignment horizontal="center" vertical="center"/>
      <protection locked="0"/>
    </xf>
    <xf numFmtId="0" fontId="1" fillId="0" borderId="16" xfId="0" applyFont="1" applyBorder="1" applyAlignment="1">
      <alignment horizontal="center" vertical="center"/>
    </xf>
    <xf numFmtId="0" fontId="1" fillId="3" borderId="17" xfId="0" applyFont="1" applyFill="1" applyBorder="1" applyAlignment="1" applyProtection="1">
      <alignment horizontal="center" vertical="center"/>
      <protection locked="0"/>
    </xf>
    <xf numFmtId="0" fontId="1" fillId="0" borderId="18" xfId="0" applyFont="1" applyBorder="1" applyAlignment="1">
      <alignment horizontal="center" vertical="center"/>
    </xf>
    <xf numFmtId="0" fontId="1" fillId="15" borderId="0" xfId="0" applyFont="1" applyFill="1" applyAlignment="1" applyProtection="1">
      <alignment horizontal="center" vertical="center" wrapText="1"/>
      <protection locked="0"/>
    </xf>
    <xf numFmtId="0" fontId="1" fillId="0" borderId="17" xfId="0" applyFont="1" applyBorder="1" applyAlignment="1">
      <alignment horizontal="center" vertical="center"/>
    </xf>
    <xf numFmtId="0" fontId="1" fillId="6" borderId="17" xfId="0" applyFont="1" applyFill="1" applyBorder="1" applyAlignment="1" applyProtection="1">
      <alignment horizontal="center" vertical="center"/>
      <protection locked="0"/>
    </xf>
    <xf numFmtId="0" fontId="1" fillId="6" borderId="17" xfId="0" applyFont="1" applyFill="1" applyBorder="1" applyAlignment="1" applyProtection="1">
      <alignment horizontal="center" vertical="center" wrapText="1"/>
      <protection locked="0"/>
    </xf>
    <xf numFmtId="0" fontId="1" fillId="17" borderId="0" xfId="0" applyFont="1" applyFill="1" applyAlignment="1" applyProtection="1">
      <alignment horizontal="center" vertical="center"/>
      <protection locked="0"/>
    </xf>
    <xf numFmtId="0" fontId="1" fillId="2" borderId="17" xfId="0" applyFont="1" applyFill="1" applyBorder="1" applyAlignment="1" applyProtection="1">
      <alignment horizontal="center" vertical="center"/>
      <protection locked="0"/>
    </xf>
    <xf numFmtId="0" fontId="1" fillId="7" borderId="17" xfId="0" applyFont="1" applyFill="1" applyBorder="1" applyAlignment="1" applyProtection="1">
      <alignment horizontal="center" vertical="center" wrapText="1"/>
      <protection locked="0"/>
    </xf>
    <xf numFmtId="0" fontId="1" fillId="7" borderId="17" xfId="0" applyFont="1" applyFill="1" applyBorder="1" applyAlignment="1" applyProtection="1">
      <alignment horizontal="center" vertical="center"/>
      <protection locked="0"/>
    </xf>
    <xf numFmtId="0" fontId="1" fillId="4" borderId="17" xfId="0" applyFont="1" applyFill="1" applyBorder="1" applyAlignment="1" applyProtection="1">
      <alignment horizontal="center" vertical="center"/>
      <protection locked="0"/>
    </xf>
    <xf numFmtId="0" fontId="2" fillId="0" borderId="0" xfId="0" applyFont="1"/>
    <xf numFmtId="0" fontId="5" fillId="0" borderId="0" xfId="0" applyFont="1" applyAlignment="1" applyProtection="1">
      <alignment horizontal="center" vertical="center"/>
      <protection locked="0"/>
    </xf>
    <xf numFmtId="0" fontId="17" fillId="0" borderId="0" xfId="0" applyFont="1"/>
    <xf numFmtId="0" fontId="1" fillId="0" borderId="19" xfId="0" applyFont="1" applyBorder="1" applyAlignment="1">
      <alignment horizontal="center" vertical="center"/>
    </xf>
    <xf numFmtId="0" fontId="1" fillId="15" borderId="19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9" fillId="0" borderId="0" xfId="0" applyFont="1" applyAlignment="1">
      <alignment horizontal="justify"/>
    </xf>
    <xf numFmtId="0" fontId="0" fillId="0" borderId="0" xfId="0" applyAlignment="1">
      <alignment vertical="center" wrapText="1"/>
    </xf>
    <xf numFmtId="0" fontId="19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19" fillId="3" borderId="0" xfId="0" applyFont="1" applyFill="1" applyAlignment="1">
      <alignment vertical="center" wrapText="1"/>
    </xf>
    <xf numFmtId="0" fontId="20" fillId="0" borderId="20" xfId="0" applyFont="1" applyBorder="1" applyAlignment="1">
      <alignment horizontal="center" vertical="center"/>
    </xf>
    <xf numFmtId="0" fontId="21" fillId="18" borderId="20" xfId="0" applyFont="1" applyFill="1" applyBorder="1" applyAlignment="1">
      <alignment horizontal="center" vertical="center"/>
    </xf>
    <xf numFmtId="0" fontId="19" fillId="7" borderId="0" xfId="0" applyFont="1" applyFill="1" applyAlignment="1">
      <alignment vertical="center" wrapText="1"/>
    </xf>
    <xf numFmtId="0" fontId="21" fillId="18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1" fillId="19" borderId="0" xfId="0" applyFont="1" applyFill="1" applyAlignment="1">
      <alignment horizontal="center" vertical="center"/>
    </xf>
    <xf numFmtId="0" fontId="22" fillId="0" borderId="0" xfId="0" applyFont="1"/>
    <xf numFmtId="0" fontId="20" fillId="0" borderId="0" xfId="0" applyFont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0" fillId="10" borderId="0" xfId="0" applyFont="1" applyFill="1" applyAlignment="1">
      <alignment horizontal="center" vertical="center"/>
    </xf>
    <xf numFmtId="0" fontId="19" fillId="0" borderId="0" xfId="0" applyFont="1" applyAlignment="1">
      <alignment vertical="top" wrapText="1"/>
    </xf>
    <xf numFmtId="0" fontId="1" fillId="0" borderId="0" xfId="0" applyFont="1"/>
    <xf numFmtId="0" fontId="25" fillId="0" borderId="0" xfId="0" applyFont="1" applyAlignment="1">
      <alignment horizontal="center" vertical="center"/>
    </xf>
    <xf numFmtId="0" fontId="0" fillId="0" borderId="21" xfId="0" applyBorder="1" applyAlignment="1">
      <alignment vertical="center"/>
    </xf>
    <xf numFmtId="0" fontId="2" fillId="0" borderId="21" xfId="0" applyFont="1" applyBorder="1" applyAlignment="1">
      <alignment vertical="center"/>
    </xf>
    <xf numFmtId="0" fontId="0" fillId="3" borderId="21" xfId="0" applyFill="1" applyBorder="1" applyAlignment="1">
      <alignment vertical="center"/>
    </xf>
    <xf numFmtId="0" fontId="0" fillId="7" borderId="21" xfId="0" applyFill="1" applyBorder="1" applyAlignment="1">
      <alignment vertical="center"/>
    </xf>
    <xf numFmtId="0" fontId="2" fillId="7" borderId="21" xfId="0" applyFont="1" applyFill="1" applyBorder="1" applyAlignment="1">
      <alignment vertical="center"/>
    </xf>
    <xf numFmtId="0" fontId="2" fillId="0" borderId="2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6" fillId="0" borderId="0" xfId="0" applyFont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9" xfId="0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center"/>
    </xf>
    <xf numFmtId="9" fontId="0" fillId="0" borderId="0" xfId="0" applyNumberFormat="1" applyAlignment="1">
      <alignment horizontal="center" vertical="center"/>
    </xf>
    <xf numFmtId="0" fontId="30" fillId="0" borderId="30" xfId="0" applyFont="1" applyBorder="1" applyAlignment="1">
      <alignment horizontal="right"/>
    </xf>
    <xf numFmtId="9" fontId="24" fillId="0" borderId="3" xfId="0" applyNumberFormat="1" applyFont="1" applyBorder="1" applyAlignment="1">
      <alignment horizontal="center"/>
    </xf>
    <xf numFmtId="0" fontId="29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0" fillId="10" borderId="0" xfId="0" applyFill="1" applyAlignment="1">
      <alignment vertical="center"/>
    </xf>
    <xf numFmtId="0" fontId="0" fillId="10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0" fillId="7" borderId="0" xfId="0" applyFill="1" applyAlignment="1">
      <alignment vertical="center" wrapText="1"/>
    </xf>
    <xf numFmtId="9" fontId="1" fillId="0" borderId="21" xfId="0" applyNumberFormat="1" applyFont="1" applyBorder="1" applyAlignment="1">
      <alignment horizontal="center" vertical="center"/>
    </xf>
    <xf numFmtId="9" fontId="21" fillId="22" borderId="0" xfId="0" applyNumberFormat="1" applyFont="1" applyFill="1" applyAlignment="1">
      <alignment horizontal="center" vertical="center"/>
    </xf>
    <xf numFmtId="0" fontId="21" fillId="22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6" fillId="21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17" fillId="0" borderId="0" xfId="0" applyFont="1" applyProtection="1">
      <protection locked="0"/>
    </xf>
    <xf numFmtId="0" fontId="31" fillId="0" borderId="0" xfId="0" applyFont="1" applyAlignment="1">
      <alignment horizontal="right"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center"/>
    </xf>
    <xf numFmtId="0" fontId="31" fillId="0" borderId="0" xfId="0" applyFont="1"/>
    <xf numFmtId="0" fontId="8" fillId="0" borderId="0" xfId="0" applyFont="1" applyAlignment="1">
      <alignment horizontal="right" vertical="center"/>
    </xf>
    <xf numFmtId="164" fontId="31" fillId="0" borderId="0" xfId="0" applyNumberFormat="1" applyFont="1" applyAlignment="1">
      <alignment horizontal="center"/>
    </xf>
    <xf numFmtId="0" fontId="2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20" xfId="0" applyFont="1" applyBorder="1" applyAlignment="1">
      <alignment horizontal="left" vertical="center"/>
    </xf>
    <xf numFmtId="0" fontId="35" fillId="0" borderId="0" xfId="0" applyFont="1" applyAlignment="1">
      <alignment vertical="center"/>
    </xf>
    <xf numFmtId="0" fontId="8" fillId="20" borderId="0" xfId="0" applyFont="1" applyFill="1"/>
    <xf numFmtId="0" fontId="22" fillId="0" borderId="0" xfId="0" applyFont="1" applyAlignment="1" applyProtection="1">
      <alignment horizontal="center"/>
      <protection locked="0"/>
    </xf>
    <xf numFmtId="0" fontId="36" fillId="0" borderId="0" xfId="0" applyFont="1" applyAlignment="1">
      <alignment horizontal="right" vertical="top" wrapText="1"/>
    </xf>
    <xf numFmtId="0" fontId="36" fillId="0" borderId="0" xfId="0" applyFont="1" applyAlignment="1">
      <alignment vertical="top" wrapText="1"/>
    </xf>
    <xf numFmtId="0" fontId="8" fillId="0" borderId="0" xfId="0" applyFont="1" applyAlignment="1">
      <alignment horizontal="center" vertical="center"/>
    </xf>
    <xf numFmtId="0" fontId="2" fillId="0" borderId="21" xfId="0" applyFont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 applyProtection="1">
      <alignment vertical="top" wrapText="1"/>
      <protection locked="0"/>
    </xf>
    <xf numFmtId="9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8" fillId="0" borderId="0" xfId="0" applyFont="1" applyAlignment="1">
      <alignment vertical="center"/>
    </xf>
    <xf numFmtId="9" fontId="8" fillId="0" borderId="0" xfId="0" applyNumberFormat="1" applyFont="1" applyAlignment="1">
      <alignment horizontal="center" vertical="center"/>
    </xf>
    <xf numFmtId="0" fontId="37" fillId="0" borderId="0" xfId="0" applyFont="1"/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0" fillId="0" borderId="0" xfId="0" applyFont="1" applyAlignment="1">
      <alignment horizontal="right"/>
    </xf>
    <xf numFmtId="0" fontId="38" fillId="0" borderId="0" xfId="0" applyFont="1" applyAlignment="1">
      <alignment horizontal="right"/>
    </xf>
    <xf numFmtId="0" fontId="8" fillId="20" borderId="0" xfId="0" applyFont="1" applyFill="1" applyAlignment="1">
      <alignment vertical="center"/>
    </xf>
    <xf numFmtId="9" fontId="8" fillId="20" borderId="0" xfId="3" applyFont="1" applyFill="1" applyAlignment="1">
      <alignment horizontal="center" vertical="center"/>
    </xf>
    <xf numFmtId="9" fontId="24" fillId="0" borderId="0" xfId="0" applyNumberFormat="1" applyFont="1" applyAlignment="1">
      <alignment horizontal="left"/>
    </xf>
    <xf numFmtId="0" fontId="34" fillId="0" borderId="0" xfId="0" applyFont="1" applyAlignment="1">
      <alignment horizontal="left"/>
    </xf>
    <xf numFmtId="0" fontId="29" fillId="0" borderId="0" xfId="0" applyFont="1" applyAlignment="1" applyProtection="1">
      <alignment vertical="center"/>
      <protection locked="0"/>
    </xf>
    <xf numFmtId="9" fontId="8" fillId="0" borderId="0" xfId="3" applyFont="1" applyAlignment="1">
      <alignment horizontal="center" vertical="center"/>
    </xf>
    <xf numFmtId="0" fontId="2" fillId="0" borderId="32" xfId="0" applyFont="1" applyBorder="1" applyAlignment="1" applyProtection="1">
      <alignment vertical="top" wrapText="1"/>
      <protection locked="0"/>
    </xf>
    <xf numFmtId="0" fontId="0" fillId="10" borderId="0" xfId="0" applyFill="1"/>
    <xf numFmtId="0" fontId="4" fillId="0" borderId="0" xfId="2" applyFont="1" applyAlignment="1" applyProtection="1">
      <alignment vertical="center"/>
    </xf>
    <xf numFmtId="0" fontId="4" fillId="0" borderId="0" xfId="2" applyFont="1" applyAlignment="1" applyProtection="1"/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2" fillId="10" borderId="0" xfId="0" applyFont="1" applyFill="1" applyAlignment="1">
      <alignment horizontal="center" vertical="center"/>
    </xf>
    <xf numFmtId="0" fontId="32" fillId="10" borderId="0" xfId="0" applyFont="1" applyFill="1" applyAlignment="1">
      <alignment horizontal="center" vertical="center" wrapText="1"/>
    </xf>
    <xf numFmtId="0" fontId="39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0" fontId="23" fillId="0" borderId="0" xfId="0" applyFont="1" applyAlignment="1">
      <alignment vertical="center" wrapText="1"/>
    </xf>
    <xf numFmtId="0" fontId="4" fillId="0" borderId="0" xfId="0" applyFont="1" applyAlignment="1" applyProtection="1">
      <alignment vertical="top" wrapText="1"/>
      <protection locked="0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1" fillId="5" borderId="7" xfId="0" applyFont="1" applyFill="1" applyBorder="1" applyAlignment="1">
      <alignment horizontal="center" vertical="center" textRotation="90"/>
    </xf>
    <xf numFmtId="0" fontId="1" fillId="5" borderId="0" xfId="0" applyFont="1" applyFill="1" applyAlignment="1">
      <alignment horizontal="center" vertical="center" textRotation="90"/>
    </xf>
    <xf numFmtId="0" fontId="1" fillId="5" borderId="5" xfId="0" applyFont="1" applyFill="1" applyBorder="1" applyAlignment="1">
      <alignment horizontal="center" vertical="center" textRotation="90"/>
    </xf>
    <xf numFmtId="0" fontId="0" fillId="5" borderId="0" xfId="0" applyFill="1" applyAlignment="1">
      <alignment horizontal="center"/>
    </xf>
    <xf numFmtId="0" fontId="1" fillId="7" borderId="7" xfId="0" applyFont="1" applyFill="1" applyBorder="1" applyAlignment="1">
      <alignment horizontal="center" vertical="center" textRotation="90"/>
    </xf>
    <xf numFmtId="0" fontId="1" fillId="7" borderId="0" xfId="0" applyFont="1" applyFill="1" applyAlignment="1">
      <alignment horizontal="center" vertical="center" textRotation="90"/>
    </xf>
    <xf numFmtId="0" fontId="1" fillId="7" borderId="5" xfId="0" applyFont="1" applyFill="1" applyBorder="1" applyAlignment="1">
      <alignment horizontal="center" vertical="center" textRotation="90"/>
    </xf>
    <xf numFmtId="0" fontId="0" fillId="7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7" xfId="0" applyFont="1" applyFill="1" applyBorder="1" applyAlignment="1">
      <alignment horizontal="center" vertical="center" textRotation="90"/>
    </xf>
    <xf numFmtId="0" fontId="1" fillId="2" borderId="0" xfId="0" applyFont="1" applyFill="1" applyAlignment="1">
      <alignment horizontal="center" vertical="center" textRotation="90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 vertical="center" textRotation="90"/>
    </xf>
    <xf numFmtId="0" fontId="5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0" xfId="0" applyFont="1" applyFill="1" applyAlignment="1">
      <alignment horizontal="center" vertical="center" textRotation="90"/>
    </xf>
    <xf numFmtId="0" fontId="1" fillId="6" borderId="5" xfId="0" applyFont="1" applyFill="1" applyBorder="1" applyAlignment="1">
      <alignment horizontal="center" vertical="center" textRotation="90"/>
    </xf>
    <xf numFmtId="0" fontId="1" fillId="6" borderId="0" xfId="0" applyFont="1" applyFill="1" applyAlignment="1">
      <alignment horizontal="center" vertical="center" textRotation="180"/>
    </xf>
    <xf numFmtId="0" fontId="1" fillId="4" borderId="0" xfId="0" applyFont="1" applyFill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6" fillId="18" borderId="0" xfId="0" applyFont="1" applyFill="1" applyAlignment="1">
      <alignment horizontal="center"/>
    </xf>
    <xf numFmtId="0" fontId="16" fillId="8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textRotation="180"/>
    </xf>
    <xf numFmtId="0" fontId="1" fillId="7" borderId="0" xfId="0" applyFont="1" applyFill="1" applyAlignment="1">
      <alignment horizontal="center" vertical="center" textRotation="180"/>
    </xf>
    <xf numFmtId="0" fontId="1" fillId="4" borderId="0" xfId="0" applyFont="1" applyFill="1" applyAlignment="1">
      <alignment horizontal="center" vertical="center" textRotation="180"/>
    </xf>
    <xf numFmtId="0" fontId="1" fillId="3" borderId="0" xfId="0" applyFont="1" applyFill="1" applyAlignment="1">
      <alignment horizontal="center" vertical="center" textRotation="180"/>
    </xf>
    <xf numFmtId="0" fontId="10" fillId="9" borderId="9" xfId="0" applyFont="1" applyFill="1" applyBorder="1" applyAlignment="1">
      <alignment horizontal="center" vertical="center"/>
    </xf>
    <xf numFmtId="0" fontId="10" fillId="8" borderId="9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31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top" wrapText="1"/>
    </xf>
    <xf numFmtId="0" fontId="26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164" fontId="18" fillId="0" borderId="0" xfId="0" applyNumberFormat="1" applyFont="1" applyAlignment="1">
      <alignment horizontal="center" vertical="center"/>
    </xf>
    <xf numFmtId="164" fontId="18" fillId="0" borderId="28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10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left" vertical="justify" wrapText="1"/>
    </xf>
    <xf numFmtId="0" fontId="30" fillId="0" borderId="3" xfId="0" applyFont="1" applyBorder="1" applyAlignment="1">
      <alignment horizontal="left"/>
    </xf>
    <xf numFmtId="0" fontId="30" fillId="0" borderId="31" xfId="0" applyFont="1" applyBorder="1" applyAlignment="1">
      <alignment horizontal="left"/>
    </xf>
    <xf numFmtId="0" fontId="2" fillId="7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4">
    <cellStyle name="Hyperlink" xfId="2" builtinId="8"/>
    <cellStyle name="Normal" xfId="0" builtinId="0"/>
    <cellStyle name="Normal 2" xfId="1" xr:uid="{00000000-0005-0000-0000-000002000000}"/>
    <cellStyle name="Percent" xfId="3" builtinId="5"/>
  </cellStyles>
  <dxfs count="22">
    <dxf>
      <font>
        <color theme="3" tint="0.39994506668294322"/>
      </font>
    </dxf>
    <dxf>
      <font>
        <color rgb="FFFF0000"/>
      </font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FF99"/>
          </stop>
        </gradient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FF0000"/>
      </font>
      <fill>
        <gradientFill type="path" left="0.5" right="0.5" top="0.5" bottom="0.5">
          <stop position="0">
            <color theme="0"/>
          </stop>
          <stop position="1">
            <color theme="0" tint="-5.0965910824915313E-2"/>
          </stop>
        </gradientFill>
      </fill>
    </dxf>
    <dxf>
      <font>
        <color theme="3" tint="0.39994506668294322"/>
      </font>
      <fill>
        <gradientFill type="path" left="0.5" right="0.5" top="0.5" bottom="0.5">
          <stop position="0">
            <color theme="0"/>
          </stop>
          <stop position="1">
            <color rgb="FFFFFF99"/>
          </stop>
        </gradientFill>
      </fill>
    </dxf>
    <dxf>
      <font>
        <color theme="9" tint="-0.24994659260841701"/>
      </font>
      <fill>
        <patternFill>
          <bgColor theme="9" tint="-0.24994659260841701"/>
        </patternFill>
      </fill>
    </dxf>
    <dxf>
      <font>
        <color theme="6" tint="-0.24994659260841701"/>
      </font>
      <fill>
        <patternFill>
          <bgColor theme="6" tint="-0.24994659260841701"/>
        </patternFill>
      </fill>
    </dxf>
    <dxf>
      <font>
        <color rgb="FFFFFF00"/>
      </font>
      <fill>
        <patternFill>
          <bgColor rgb="FFFFFF00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FF99"/>
          </stop>
        </gradientFill>
      </fill>
    </dxf>
    <dxf>
      <font>
        <color rgb="FF00B0F0"/>
      </font>
      <fill>
        <gradientFill type="path" left="0.5" right="0.5" top="0.5" bottom="0.5">
          <stop position="0">
            <color theme="0"/>
          </stop>
          <stop position="1">
            <color rgb="FFFFFF99"/>
          </stop>
        </gradient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Comparativo Raiz do Temperamento</a:t>
            </a:r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4516919860392188"/>
          <c:y val="0.15990303295421412"/>
          <c:w val="0.67590933360310756"/>
          <c:h val="0.69859689413823267"/>
        </c:manualLayout>
      </c:layout>
      <c:pie3DChart>
        <c:varyColors val="1"/>
        <c:ser>
          <c:idx val="0"/>
          <c:order val="0"/>
          <c:explosion val="25"/>
          <c:dPt>
            <c:idx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0-7E85-4EBF-AB8E-D1C9C9834FD4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7E85-4EBF-AB8E-D1C9C9834FD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/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'Comparativo 5 Variáveis'!$D$80:$D$81</c:f>
              <c:strCache>
                <c:ptCount val="2"/>
                <c:pt idx="0">
                  <c:v>Convergência</c:v>
                </c:pt>
                <c:pt idx="1">
                  <c:v>Divergência</c:v>
                </c:pt>
              </c:strCache>
            </c:strRef>
          </c:cat>
          <c:val>
            <c:numRef>
              <c:f>'Comparativo 5 Variáveis'!$E$80:$E$81</c:f>
              <c:numCache>
                <c:formatCode>General</c:formatCode>
                <c:ptCount val="2"/>
                <c:pt idx="0">
                  <c:v>0</c:v>
                </c:pt>
                <c:pt idx="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85-4EBF-AB8E-D1C9C9834FD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0.79425131233595803"/>
          <c:y val="0.81205818022747167"/>
          <c:w val="0.20574864972713575"/>
          <c:h val="0.16743438320210019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64" footer="0.3149606200000006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Predomínio do Temperamento</a:t>
            </a:r>
          </a:p>
        </c:rich>
      </c:tx>
      <c:layout>
        <c:manualLayout>
          <c:xMode val="edge"/>
          <c:yMode val="edge"/>
          <c:x val="0.27589914897001516"/>
          <c:y val="1.3888888888888944E-2"/>
        </c:manualLayout>
      </c:layout>
      <c:overlay val="0"/>
    </c:title>
    <c:autoTitleDeleted val="0"/>
    <c:view3D>
      <c:rotX val="60"/>
      <c:rotY val="11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.162577646544182"/>
          <c:w val="1"/>
          <c:h val="0.70289078448527265"/>
        </c:manualLayout>
      </c:layout>
      <c:pie3DChart>
        <c:varyColors val="1"/>
        <c:ser>
          <c:idx val="0"/>
          <c:order val="0"/>
          <c:explosion val="25"/>
          <c:dPt>
            <c:idx val="0"/>
            <c:bubble3D val="0"/>
            <c:explosion val="29"/>
            <c:spPr>
              <a:solidFill>
                <a:schemeClr val="accent3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0-6CA8-4CC1-B3FB-7BD8AF626A22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6CA8-4CC1-B3FB-7BD8AF626A22}"/>
              </c:ext>
            </c:extLst>
          </c:dPt>
          <c:dLbls>
            <c:dLbl>
              <c:idx val="0"/>
              <c:layout>
                <c:manualLayout>
                  <c:x val="0.17735496699276229"/>
                  <c:y val="-0.16599372995042291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CA8-4CC1-B3FB-7BD8AF626A22}"/>
                </c:ext>
              </c:extLst>
            </c:dLbl>
            <c:dLbl>
              <c:idx val="1"/>
              <c:layout>
                <c:manualLayout>
                  <c:x val="-0.15595386940268824"/>
                  <c:y val="0.11704286964129484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CA8-4CC1-B3FB-7BD8AF626A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/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'50 Categorias Homem'!$G$53:$G$54</c:f>
              <c:strCache>
                <c:ptCount val="2"/>
                <c:pt idx="0">
                  <c:v>Homeostático</c:v>
                </c:pt>
                <c:pt idx="1">
                  <c:v>Nosográfico</c:v>
                </c:pt>
              </c:strCache>
            </c:strRef>
          </c:cat>
          <c:val>
            <c:numRef>
              <c:f>'50 Categorias Homem'!$H$53:$H$54</c:f>
              <c:numCache>
                <c:formatCode>General</c:formatCode>
                <c:ptCount val="2"/>
                <c:pt idx="0">
                  <c:v>11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A8-4CC1-B3FB-7BD8AF626A2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0.67163879870888343"/>
          <c:y val="0.80329615048118985"/>
          <c:w val="0.32836102845003906"/>
          <c:h val="0.16743438320210044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102" footer="0.314960620000001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Predomínio do Temperamento</a:t>
            </a:r>
          </a:p>
        </c:rich>
      </c:tx>
      <c:layout>
        <c:manualLayout>
          <c:xMode val="edge"/>
          <c:yMode val="edge"/>
          <c:x val="0.27589914897001516"/>
          <c:y val="1.3888888888888951E-2"/>
        </c:manualLayout>
      </c:layout>
      <c:overlay val="0"/>
    </c:title>
    <c:autoTitleDeleted val="0"/>
    <c:view3D>
      <c:rotX val="60"/>
      <c:rotY val="11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.17183690580344133"/>
          <c:w val="1"/>
          <c:h val="0.70289078448527265"/>
        </c:manualLayout>
      </c:layout>
      <c:pie3DChart>
        <c:varyColors val="1"/>
        <c:ser>
          <c:idx val="0"/>
          <c:order val="0"/>
          <c:explosion val="25"/>
          <c:dPt>
            <c:idx val="0"/>
            <c:bubble3D val="0"/>
            <c:explosion val="29"/>
            <c:spPr>
              <a:solidFill>
                <a:schemeClr val="accent3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0-1154-4F9B-BDFE-F36CCC19E96C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1154-4F9B-BDFE-F36CCC19E96C}"/>
              </c:ext>
            </c:extLst>
          </c:dPt>
          <c:dLbls>
            <c:dLbl>
              <c:idx val="0"/>
              <c:layout>
                <c:manualLayout>
                  <c:x val="0.17735496699276229"/>
                  <c:y val="-0.16599372995042291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154-4F9B-BDFE-F36CCC19E96C}"/>
                </c:ext>
              </c:extLst>
            </c:dLbl>
            <c:dLbl>
              <c:idx val="1"/>
              <c:layout>
                <c:manualLayout>
                  <c:x val="-0.15595386940268824"/>
                  <c:y val="0.11704286964129484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154-4F9B-BDFE-F36CCC19E9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/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'50 Categorias Mulher'!$N$43:$N$44</c:f>
              <c:strCache>
                <c:ptCount val="2"/>
                <c:pt idx="0">
                  <c:v>Homeostático</c:v>
                </c:pt>
                <c:pt idx="1">
                  <c:v>Nosográfico</c:v>
                </c:pt>
              </c:strCache>
            </c:strRef>
          </c:cat>
          <c:val>
            <c:numRef>
              <c:f>'50 Categorias Mulher'!$O$43:$O$44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54-4F9B-BDFE-F36CCC19E96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0.67163879870888388"/>
          <c:y val="0.80329615048118985"/>
          <c:w val="0.32836102845003906"/>
          <c:h val="0.16743438320210052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113" footer="0.3149606200000011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Convergências do</a:t>
            </a:r>
            <a:r>
              <a:rPr lang="en-US" baseline="0"/>
              <a:t> Temperamento da Dupla</a:t>
            </a:r>
            <a:endParaRPr lang="en-US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0848278580562049"/>
          <c:y val="0.16916229221347329"/>
          <c:w val="0.68136829050214887"/>
          <c:h val="0.70583770778652666"/>
        </c:manualLayout>
      </c:layout>
      <c:pie3DChart>
        <c:varyColors val="1"/>
        <c:ser>
          <c:idx val="0"/>
          <c:order val="0"/>
          <c:spPr>
            <a:solidFill>
              <a:schemeClr val="accent3">
                <a:lumMod val="75000"/>
              </a:schemeClr>
            </a:solidFill>
          </c:spPr>
          <c:explosion val="25"/>
          <c:dPt>
            <c:idx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0-FBFD-4F68-BFBA-DF6CB9880555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FBFD-4F68-BFBA-DF6CB98805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/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'Comparativo 50 Categorias'!$B$56:$B$57</c:f>
              <c:strCache>
                <c:ptCount val="2"/>
                <c:pt idx="0">
                  <c:v>Homeostático</c:v>
                </c:pt>
                <c:pt idx="1">
                  <c:v>Nosográfico</c:v>
                </c:pt>
              </c:strCache>
            </c:strRef>
          </c:cat>
          <c:val>
            <c:numRef>
              <c:f>'Comparativo 50 Categorias'!$C$56:$C$57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FD-4F68-BFBA-DF6CB988055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0.79464020122484769"/>
          <c:y val="0.83057669874598949"/>
          <c:w val="0.2053597987751532"/>
          <c:h val="0.16743438320210008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52" footer="0.3149606200000005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Comparativo Geral</a:t>
            </a:r>
            <a:r>
              <a:rPr lang="en-US" baseline="0"/>
              <a:t> da Dupla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0-36A3-42F7-A107-83ECE38F13A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36A3-42F7-A107-83ECE38F13A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2-36A3-42F7-A107-83ECE38F13A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36A3-42F7-A107-83ECE38F13A7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('Comparativo 50 Categorias'!$B$53:$B$54,'Comparativo 50 Categorias'!$B$56:$B$57)</c:f>
              <c:strCache>
                <c:ptCount val="4"/>
                <c:pt idx="0">
                  <c:v>Convergência</c:v>
                </c:pt>
                <c:pt idx="1">
                  <c:v>Divergência</c:v>
                </c:pt>
                <c:pt idx="2">
                  <c:v>Homeostático</c:v>
                </c:pt>
                <c:pt idx="3">
                  <c:v>Nosográfico</c:v>
                </c:pt>
              </c:strCache>
            </c:strRef>
          </c:cat>
          <c:val>
            <c:numRef>
              <c:f>('Comparativo 50 Categorias'!$C$53:$C$54,'Comparativo 50 Categorias'!$C$56:$C$57)</c:f>
              <c:numCache>
                <c:formatCode>General</c:formatCode>
                <c:ptCount val="4"/>
                <c:pt idx="0">
                  <c:v>0</c:v>
                </c:pt>
                <c:pt idx="1">
                  <c:v>26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A3-42F7-A107-83ECE38F1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158848"/>
        <c:axId val="74160768"/>
      </c:barChart>
      <c:catAx>
        <c:axId val="74158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5 Variáveis</a:t>
                </a:r>
              </a:p>
            </c:rich>
          </c:tx>
          <c:layout>
            <c:manualLayout>
              <c:xMode val="edge"/>
              <c:yMode val="edge"/>
              <c:x val="0.29270756780402485"/>
              <c:y val="0.91108778069407992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crossAx val="74160768"/>
        <c:crosses val="autoZero"/>
        <c:auto val="1"/>
        <c:lblAlgn val="ctr"/>
        <c:lblOffset val="100"/>
        <c:noMultiLvlLbl val="0"/>
      </c:catAx>
      <c:valAx>
        <c:axId val="74160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74158848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64" footer="0.31496062000000064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Autencidade Afetiva do Homem</a:t>
            </a:r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8055555555555561E-2"/>
          <c:y val="0.19498505395158938"/>
          <c:w val="0.96388888888888968"/>
          <c:h val="0.6519648585593476"/>
        </c:manualLayout>
      </c:layout>
      <c:pie3DChart>
        <c:varyColors val="1"/>
        <c:ser>
          <c:idx val="0"/>
          <c:order val="0"/>
          <c:explosion val="25"/>
          <c:dPt>
            <c:idx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0-B58C-437A-AF15-6957382BDF8C}"/>
              </c:ext>
            </c:extLst>
          </c:dPt>
          <c:dPt>
            <c:idx val="1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B58C-437A-AF15-6957382BDF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/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'Autenticidade Afetiva Homem'!$E$30:$E$31</c:f>
              <c:strCache>
                <c:ptCount val="2"/>
                <c:pt idx="0">
                  <c:v>Sim</c:v>
                </c:pt>
                <c:pt idx="1">
                  <c:v>Não</c:v>
                </c:pt>
              </c:strCache>
            </c:strRef>
          </c:cat>
          <c:val>
            <c:numRef>
              <c:f>'Autenticidade Afetiva Homem'!$F$30:$F$31</c:f>
              <c:numCache>
                <c:formatCode>General</c:formatCode>
                <c:ptCount val="2"/>
                <c:pt idx="0">
                  <c:v>0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8C-437A-AF15-6957382BDF8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t"/>
      <c:layout>
        <c:manualLayout>
          <c:xMode val="edge"/>
          <c:yMode val="edge"/>
          <c:x val="0.81938495188101457"/>
          <c:y val="0.89803258967628985"/>
          <c:w val="0.17789654418197745"/>
          <c:h val="8.371719160104997E-2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47" footer="0.31496062000000047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Autencidade Afetiva da Mulher</a:t>
            </a:r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8055555555555561E-2"/>
          <c:y val="0.18109616506270057"/>
          <c:w val="0.96388888888888991"/>
          <c:h val="0.65196485855934783"/>
        </c:manualLayout>
      </c:layout>
      <c:pie3DChart>
        <c:varyColors val="1"/>
        <c:ser>
          <c:idx val="0"/>
          <c:order val="0"/>
          <c:explosion val="25"/>
          <c:dPt>
            <c:idx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0-C26E-422E-BD66-8C4A121141A3}"/>
              </c:ext>
            </c:extLst>
          </c:dPt>
          <c:dPt>
            <c:idx val="1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C26E-422E-BD66-8C4A121141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/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'Autenticidade Afetiva Mulher'!$E$30:$E$31</c:f>
              <c:strCache>
                <c:ptCount val="2"/>
                <c:pt idx="0">
                  <c:v>Sim</c:v>
                </c:pt>
                <c:pt idx="1">
                  <c:v>Não</c:v>
                </c:pt>
              </c:strCache>
            </c:strRef>
          </c:cat>
          <c:val>
            <c:numRef>
              <c:f>'Autenticidade Afetiva Mulher'!$F$30:$F$31</c:f>
              <c:numCache>
                <c:formatCode>General</c:formatCode>
                <c:ptCount val="2"/>
                <c:pt idx="0">
                  <c:v>0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6E-422E-BD66-8C4A121141A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t"/>
      <c:layout>
        <c:manualLayout>
          <c:xMode val="edge"/>
          <c:yMode val="edge"/>
          <c:x val="0.81938495188101457"/>
          <c:y val="0.89803258967628941"/>
          <c:w val="0.17789654418197751"/>
          <c:h val="8.3717191601050012E-2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58" footer="0.31496062000000058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Comparativo da Afetividade Afetiva da Dupla Evolutiva</a:t>
            </a:r>
          </a:p>
        </c:rich>
      </c:tx>
      <c:layout>
        <c:manualLayout>
          <c:xMode val="edge"/>
          <c:yMode val="edge"/>
          <c:x val="0.16948096657059464"/>
          <c:y val="4.6296296296296311E-3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1527993187683892"/>
          <c:y val="0.19231044036162151"/>
          <c:w val="0.66175851361092242"/>
          <c:h val="0.6893376348789737"/>
        </c:manualLayout>
      </c:layout>
      <c:pie3DChart>
        <c:varyColors val="1"/>
        <c:ser>
          <c:idx val="0"/>
          <c:order val="0"/>
          <c:explosion val="25"/>
          <c:dPt>
            <c:idx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0-A41F-46D4-ABBD-76F2430C8062}"/>
              </c:ext>
            </c:extLst>
          </c:dPt>
          <c:dPt>
            <c:idx val="1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A41F-46D4-ABBD-76F2430C806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/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'Comparativo Autent. Afetiva'!$C$35:$C$36</c:f>
              <c:strCache>
                <c:ptCount val="2"/>
                <c:pt idx="0">
                  <c:v>Convergência</c:v>
                </c:pt>
                <c:pt idx="1">
                  <c:v>Divergência</c:v>
                </c:pt>
              </c:strCache>
            </c:strRef>
          </c:cat>
          <c:val>
            <c:numRef>
              <c:f>'Comparativo Autent. Afetiva'!$D$35:$D$36</c:f>
              <c:numCache>
                <c:formatCode>General</c:formatCode>
                <c:ptCount val="2"/>
                <c:pt idx="0">
                  <c:v>0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1F-46D4-ABBD-76F2430C806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0.79980686789151367"/>
          <c:y val="0.83057669874598949"/>
          <c:w val="0.20019309260351267"/>
          <c:h val="0.16743438320209997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41" footer="0.3149606200000004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2"/>
    </mc:Choice>
    <mc:Fallback>
      <c:style val="3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Aplicabilidade das Ideias Básicas da Dupla Evolutiva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'15 Ideias Básicas'!$W$5:$W$19</c:f>
              <c:strCache>
                <c:ptCount val="15"/>
                <c:pt idx="0">
                  <c:v>Afetividade</c:v>
                </c:pt>
                <c:pt idx="1">
                  <c:v>Conduta</c:v>
                </c:pt>
                <c:pt idx="2">
                  <c:v>Confiança</c:v>
                </c:pt>
                <c:pt idx="3">
                  <c:v>Criatividade</c:v>
                </c:pt>
                <c:pt idx="4">
                  <c:v>Ecs</c:v>
                </c:pt>
                <c:pt idx="5">
                  <c:v>Enriquecimento</c:v>
                </c:pt>
                <c:pt idx="6">
                  <c:v>Estimulação</c:v>
                </c:pt>
                <c:pt idx="7">
                  <c:v>Evolução</c:v>
                </c:pt>
                <c:pt idx="8">
                  <c:v>Flexibilidade</c:v>
                </c:pt>
                <c:pt idx="9">
                  <c:v>Imediatismo</c:v>
                </c:pt>
                <c:pt idx="10">
                  <c:v>Interdependência</c:v>
                </c:pt>
                <c:pt idx="11">
                  <c:v>Intimidade</c:v>
                </c:pt>
                <c:pt idx="12">
                  <c:v>Mudanças</c:v>
                </c:pt>
                <c:pt idx="13">
                  <c:v>Relacionamento</c:v>
                </c:pt>
                <c:pt idx="14">
                  <c:v>Responsabilidades</c:v>
                </c:pt>
              </c:strCache>
            </c:strRef>
          </c:cat>
          <c:val>
            <c:numRef>
              <c:f>'15 Ideias Básicas'!$X$5:$X$19</c:f>
              <c:numCache>
                <c:formatCode>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B5-4D36-A22B-6B9D9A931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365952"/>
        <c:axId val="74449664"/>
      </c:barChart>
      <c:catAx>
        <c:axId val="74365952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crossAx val="74449664"/>
        <c:crosses val="autoZero"/>
        <c:auto val="1"/>
        <c:lblAlgn val="ctr"/>
        <c:lblOffset val="100"/>
        <c:noMultiLvlLbl val="0"/>
      </c:catAx>
      <c:valAx>
        <c:axId val="74449664"/>
        <c:scaling>
          <c:orientation val="minMax"/>
        </c:scaling>
        <c:delete val="0"/>
        <c:axPos val="t"/>
        <c:numFmt formatCode="0%" sourceLinked="1"/>
        <c:majorTickMark val="none"/>
        <c:minorTickMark val="none"/>
        <c:tickLblPos val="nextTo"/>
        <c:crossAx val="74365952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36" footer="0.3149606200000003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Potencialidades Conquistadas pela</a:t>
            </a:r>
            <a:r>
              <a:rPr lang="pt-BR" baseline="0"/>
              <a:t> Dupla Evolutiva</a:t>
            </a:r>
            <a:endParaRPr lang="pt-BR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8767279090113801E-2"/>
          <c:y val="0.32472477398658539"/>
          <c:w val="0.71385564304462001"/>
          <c:h val="0.64661526684164483"/>
        </c:manualLayout>
      </c:layout>
      <c:pie3DChart>
        <c:varyColors val="1"/>
        <c:ser>
          <c:idx val="0"/>
          <c:order val="0"/>
          <c:explosion val="25"/>
          <c:dPt>
            <c:idx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0-54DD-4756-9798-FB3CF3B9283D}"/>
              </c:ext>
            </c:extLst>
          </c:dPt>
          <c:dPt>
            <c:idx val="1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54DD-4756-9798-FB3CF3B928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/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Pontecialidades!$B$43:$B$44</c:f>
              <c:strCache>
                <c:ptCount val="2"/>
                <c:pt idx="0">
                  <c:v>Realizadas</c:v>
                </c:pt>
                <c:pt idx="1">
                  <c:v>Não realizadas</c:v>
                </c:pt>
              </c:strCache>
            </c:strRef>
          </c:cat>
          <c:val>
            <c:numRef>
              <c:f>Pontecialidades!$C$43:$C$44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DD-4756-9798-FB3CF3B9283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0.78805686789151352"/>
          <c:y val="0.81200021872265959"/>
          <c:w val="0.21194313798023595"/>
          <c:h val="0.16743438320209994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36" footer="0.31496062000000036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2"/>
    </mc:Choice>
    <mc:Fallback>
      <c:style val="3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Aplicabilidade do Amor Consciencial Puro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bg1">
                <a:lumMod val="5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'Amor Consciencial Homem'!$W$5:$W$19</c:f>
              <c:strCache>
                <c:ptCount val="15"/>
                <c:pt idx="0">
                  <c:v>Admiração</c:v>
                </c:pt>
                <c:pt idx="1">
                  <c:v>Bem-estar</c:v>
                </c:pt>
                <c:pt idx="2">
                  <c:v>Ecs</c:v>
                </c:pt>
                <c:pt idx="3">
                  <c:v>Euforia</c:v>
                </c:pt>
                <c:pt idx="4">
                  <c:v>Expectativas</c:v>
                </c:pt>
                <c:pt idx="5">
                  <c:v>Impetuosidades</c:v>
                </c:pt>
                <c:pt idx="6">
                  <c:v>Megaparaíso</c:v>
                </c:pt>
                <c:pt idx="7">
                  <c:v>Plenitude</c:v>
                </c:pt>
                <c:pt idx="8">
                  <c:v>Presença</c:v>
                </c:pt>
                <c:pt idx="9">
                  <c:v>Primener</c:v>
                </c:pt>
                <c:pt idx="10">
                  <c:v>Sensibilidade</c:v>
                </c:pt>
                <c:pt idx="11">
                  <c:v>Sentimento</c:v>
                </c:pt>
                <c:pt idx="12">
                  <c:v>Sincronicidades</c:v>
                </c:pt>
                <c:pt idx="13">
                  <c:v>Ternura</c:v>
                </c:pt>
                <c:pt idx="14">
                  <c:v>Valorização</c:v>
                </c:pt>
              </c:strCache>
            </c:strRef>
          </c:cat>
          <c:val>
            <c:numRef>
              <c:f>'Amor Consciencial Homem'!$X$5:$X$19</c:f>
              <c:numCache>
                <c:formatCode>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60-478D-A078-E8BCADF97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527104"/>
        <c:axId val="74528640"/>
      </c:barChart>
      <c:catAx>
        <c:axId val="74527104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crossAx val="74528640"/>
        <c:crosses val="autoZero"/>
        <c:auto val="1"/>
        <c:lblAlgn val="ctr"/>
        <c:lblOffset val="100"/>
        <c:noMultiLvlLbl val="0"/>
      </c:catAx>
      <c:valAx>
        <c:axId val="74528640"/>
        <c:scaling>
          <c:orientation val="minMax"/>
        </c:scaling>
        <c:delete val="0"/>
        <c:axPos val="t"/>
        <c:numFmt formatCode="0%" sourceLinked="1"/>
        <c:majorTickMark val="none"/>
        <c:minorTickMark val="none"/>
        <c:tickLblPos val="nextTo"/>
        <c:crossAx val="7452710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47" footer="0.31496062000000047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2"/>
    </mc:Choice>
    <mc:Fallback>
      <c:style val="3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Aplicabilidade do Amor Consciencial Puro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'Amor Consciencial Mulher'!$W$5:$W$19</c:f>
              <c:strCache>
                <c:ptCount val="15"/>
                <c:pt idx="0">
                  <c:v>Admiração</c:v>
                </c:pt>
                <c:pt idx="1">
                  <c:v>Bem-estar</c:v>
                </c:pt>
                <c:pt idx="2">
                  <c:v>Ecs</c:v>
                </c:pt>
                <c:pt idx="3">
                  <c:v>Euforia</c:v>
                </c:pt>
                <c:pt idx="4">
                  <c:v>Expectativas</c:v>
                </c:pt>
                <c:pt idx="5">
                  <c:v>Impetuosidades</c:v>
                </c:pt>
                <c:pt idx="6">
                  <c:v>Megaparaíso</c:v>
                </c:pt>
                <c:pt idx="7">
                  <c:v>Plenitude</c:v>
                </c:pt>
                <c:pt idx="8">
                  <c:v>Presença</c:v>
                </c:pt>
                <c:pt idx="9">
                  <c:v>Primener</c:v>
                </c:pt>
                <c:pt idx="10">
                  <c:v>Sensibilidade</c:v>
                </c:pt>
                <c:pt idx="11">
                  <c:v>Sentimento</c:v>
                </c:pt>
                <c:pt idx="12">
                  <c:v>Sincronicidades</c:v>
                </c:pt>
                <c:pt idx="13">
                  <c:v>Ternura</c:v>
                </c:pt>
                <c:pt idx="14">
                  <c:v>Valorização</c:v>
                </c:pt>
              </c:strCache>
            </c:strRef>
          </c:cat>
          <c:val>
            <c:numRef>
              <c:f>'Amor Consciencial Mulher'!$X$5:$X$19</c:f>
              <c:numCache>
                <c:formatCode>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E-4106-AE36-3D07649F8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831744"/>
        <c:axId val="74833280"/>
      </c:barChart>
      <c:catAx>
        <c:axId val="74831744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crossAx val="74833280"/>
        <c:crosses val="autoZero"/>
        <c:auto val="1"/>
        <c:lblAlgn val="ctr"/>
        <c:lblOffset val="100"/>
        <c:noMultiLvlLbl val="0"/>
      </c:catAx>
      <c:valAx>
        <c:axId val="74833280"/>
        <c:scaling>
          <c:orientation val="minMax"/>
        </c:scaling>
        <c:delete val="0"/>
        <c:axPos val="t"/>
        <c:numFmt formatCode="0%" sourceLinked="1"/>
        <c:majorTickMark val="none"/>
        <c:minorTickMark val="none"/>
        <c:tickLblPos val="nextTo"/>
        <c:crossAx val="7483174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58" footer="0.31496062000000058"/>
    <c:pageSetup/>
  </c:printSettings>
</c:chartSpace>
</file>

<file path=xl/ctrlProps/ctrlProp1.xml><?xml version="1.0" encoding="utf-8"?>
<formControlPr xmlns="http://schemas.microsoft.com/office/spreadsheetml/2009/9/main" objectType="Drop" dropLines="3" dropStyle="combo" dx="48" fmlaLink="$G$3" fmlaRange="$F$3:$F$5" noThreeD="1" sel="1" val="0"/>
</file>

<file path=xl/ctrlProps/ctrlProp2.xml><?xml version="1.0" encoding="utf-8"?>
<formControlPr xmlns="http://schemas.microsoft.com/office/spreadsheetml/2009/9/main" objectType="Drop" dropLines="3" dropStyle="combo" dx="48" fmlaLink="$G$8" fmlaRange="$F$8:$F$10" noThreeD="1" sel="1" val="0"/>
</file>

<file path=xl/ctrlProps/ctrlProp3.xml><?xml version="1.0" encoding="utf-8"?>
<formControlPr xmlns="http://schemas.microsoft.com/office/spreadsheetml/2009/9/main" objectType="Drop" dropLines="3" dropStyle="combo" dx="48" fmlaLink="$G$11" fmlaRange="$F$11:$F$13" noThreeD="1" sel="1" val="0"/>
</file>

<file path=xl/ctrlProps/ctrlProp4.xml><?xml version="1.0" encoding="utf-8"?>
<formControlPr xmlns="http://schemas.microsoft.com/office/spreadsheetml/2009/9/main" objectType="Drop" dropLines="3" dropStyle="combo" dx="48" fmlaLink="$G$14" fmlaRange="$F$14:$F$16" noThreeD="1" sel="1" val="0"/>
</file>

<file path=xl/ctrlProps/ctrlProp5.xml><?xml version="1.0" encoding="utf-8"?>
<formControlPr xmlns="http://schemas.microsoft.com/office/spreadsheetml/2009/9/main" objectType="Drop" dropLines="3" dropStyle="combo" dx="48" fmlaLink="$G$17" fmlaRange="$F$17:$F$19" noThreeD="1" sel="1" val="0"/>
</file>

<file path=xl/ctrlProps/ctrlProp6.xml><?xml version="1.0" encoding="utf-8"?>
<formControlPr xmlns="http://schemas.microsoft.com/office/spreadsheetml/2009/9/main" objectType="Drop" dropLines="4" dropStyle="combo" dx="48" fmlaLink="$G$20" fmlaRange="$F$20:$F$23" noThreeD="1" sel="1" val="0"/>
</file>

<file path=xl/ctrlProps/ctrlProp7.xml><?xml version="1.0" encoding="utf-8"?>
<formControlPr xmlns="http://schemas.microsoft.com/office/spreadsheetml/2009/9/main" objectType="Drop" dropLines="3" dropStyle="combo" dx="48" fmlaLink="$G$25" fmlaRange="$F$25:$F$27" noThreeD="1" sel="1" val="0"/>
</file>

<file path=xl/ctrlProps/ctrlProp8.xml><?xml version="1.0" encoding="utf-8"?>
<formControlPr xmlns="http://schemas.microsoft.com/office/spreadsheetml/2009/9/main" objectType="Drop" dropLines="3" dropStyle="combo" dx="48" fmlaLink="$G$28" fmlaRange="$F$28:$F$30" noThreeD="1" sel="1" val="0"/>
</file>

<file path=xl/ctrlProps/ctrlProp9.xml><?xml version="1.0" encoding="utf-8"?>
<formControlPr xmlns="http://schemas.microsoft.com/office/spreadsheetml/2009/9/main" objectType="Drop" dropLines="4" dropStyle="combo" dx="48" fmlaLink="$G$31" fmlaRange="$F$31:$F$34" noThreeD="1" sel="1" val="0"/>
</file>

<file path=xl/ctrlProps/ctrlProp10.xml><?xml version="1.0" encoding="utf-8"?>
<formControlPr xmlns="http://schemas.microsoft.com/office/spreadsheetml/2009/9/main" objectType="Drop" dropLines="3" dropStyle="combo" dx="48" fmlaLink="$G$35" fmlaRange="$F$35:$F$37" noThreeD="1" sel="1" val="0"/>
</file>

<file path=xl/ctrlProps/ctrlProp11.xml><?xml version="1.0" encoding="utf-8"?>
<formControlPr xmlns="http://schemas.microsoft.com/office/spreadsheetml/2009/9/main" objectType="Drop" dropLines="3" dropStyle="combo" dx="48" fmlaLink="$G$38" fmlaRange="$F$38:$F$40" noThreeD="1" sel="1" val="0"/>
</file>

<file path=xl/ctrlProps/ctrlProp12.xml><?xml version="1.0" encoding="utf-8"?>
<formControlPr xmlns="http://schemas.microsoft.com/office/spreadsheetml/2009/9/main" objectType="Drop" dropLines="3" dropStyle="combo" dx="48" fmlaLink="$G$41" fmlaRange="$F$41:$F$43" noThreeD="1" sel="1" val="0"/>
</file>

<file path=xl/ctrlProps/ctrlProp13.xml><?xml version="1.0" encoding="utf-8"?>
<formControlPr xmlns="http://schemas.microsoft.com/office/spreadsheetml/2009/9/main" objectType="Drop" dropLines="3" dropStyle="combo" dx="48" fmlaLink="$G$44" fmlaRange="$F$44:$F$46" noThreeD="1" sel="1" val="0"/>
</file>

<file path=xl/ctrlProps/ctrlProp14.xml><?xml version="1.0" encoding="utf-8"?>
<formControlPr xmlns="http://schemas.microsoft.com/office/spreadsheetml/2009/9/main" objectType="Drop" dropLines="3" dropStyle="combo" dx="48" fmlaLink="$G$47" fmlaRange="$F$47:$F$49" noThreeD="1" sel="1" val="0"/>
</file>

<file path=xl/ctrlProps/ctrlProp15.xml><?xml version="1.0" encoding="utf-8"?>
<formControlPr xmlns="http://schemas.microsoft.com/office/spreadsheetml/2009/9/main" objectType="Drop" dropLines="3" dropStyle="combo" dx="48" fmlaLink="$G$51" fmlaRange="$F$50:$F$52" noThreeD="1" sel="1" val="0"/>
</file>

<file path=xl/ctrlProps/ctrlProp16.xml><?xml version="1.0" encoding="utf-8"?>
<formControlPr xmlns="http://schemas.microsoft.com/office/spreadsheetml/2009/9/main" objectType="Drop" dropLines="3" dropStyle="combo" dx="48" fmlaLink="$G$53" fmlaRange="$F$53:$F$55" noThreeD="1" sel="1" val="0"/>
</file>

<file path=xl/ctrlProps/ctrlProp17.xml><?xml version="1.0" encoding="utf-8"?>
<formControlPr xmlns="http://schemas.microsoft.com/office/spreadsheetml/2009/9/main" objectType="Drop" dropLines="3" dropStyle="combo" dx="48" fmlaLink="$G$57" fmlaRange="$F$57:$F$59" noThreeD="1" sel="1" val="0"/>
</file>

<file path=xl/ctrlProps/ctrlProp18.xml><?xml version="1.0" encoding="utf-8"?>
<formControlPr xmlns="http://schemas.microsoft.com/office/spreadsheetml/2009/9/main" objectType="Drop" dropLines="3" dropStyle="combo" dx="48" fmlaLink="$G$60" fmlaRange="$F$60:$F$62" noThreeD="1" sel="1" val="0"/>
</file>

<file path=xl/ctrlProps/ctrlProp19.xml><?xml version="1.0" encoding="utf-8"?>
<formControlPr xmlns="http://schemas.microsoft.com/office/spreadsheetml/2009/9/main" objectType="Drop" dropLines="4" dropStyle="combo" dx="48" fmlaLink="$G$63" fmlaRange="$F$63:$F$66" noThreeD="1" sel="1" val="0"/>
</file>

<file path=xl/ctrlProps/ctrlProp20.xml><?xml version="1.0" encoding="utf-8"?>
<formControlPr xmlns="http://schemas.microsoft.com/office/spreadsheetml/2009/9/main" objectType="Drop" dropLines="3" dropStyle="combo" dx="48" fmlaLink="$G$67" fmlaRange="$F$67:$F$69" noThreeD="1" sel="1" val="0"/>
</file>

<file path=xl/ctrlProps/ctrlProp21.xml><?xml version="1.0" encoding="utf-8"?>
<formControlPr xmlns="http://schemas.microsoft.com/office/spreadsheetml/2009/9/main" objectType="Drop" dropLines="3" dropStyle="combo" dx="48" fmlaLink="$G$70" fmlaRange="$F$70:$F$72" noThreeD="1" sel="1" val="0"/>
</file>

<file path=xl/ctrlProps/ctrlProp22.xml><?xml version="1.0" encoding="utf-8"?>
<formControlPr xmlns="http://schemas.microsoft.com/office/spreadsheetml/2009/9/main" objectType="Drop" dropLines="3" dropStyle="combo" dx="48" fmlaLink="$G$73" fmlaRange="$F$73:$F$75" noThreeD="1" sel="1" val="0"/>
</file>

<file path=xl/ctrlProps/ctrlProp23.xml><?xml version="1.0" encoding="utf-8"?>
<formControlPr xmlns="http://schemas.microsoft.com/office/spreadsheetml/2009/9/main" objectType="Drop" dropLines="3" dropStyle="combo" dx="48" fmlaLink="$G$77" fmlaRange="$F$77:$F$79" noThreeD="1" sel="1" val="0"/>
</file>

<file path=xl/ctrlProps/ctrlProp24.xml><?xml version="1.0" encoding="utf-8"?>
<formControlPr xmlns="http://schemas.microsoft.com/office/spreadsheetml/2009/9/main" objectType="Drop" dropLines="3" dropStyle="combo" dx="48" fmlaLink="$G$80" fmlaRange="$F$80:$F$82" noThreeD="1" sel="1" val="0"/>
</file>

<file path=xl/ctrlProps/ctrlProp25.xml><?xml version="1.0" encoding="utf-8"?>
<formControlPr xmlns="http://schemas.microsoft.com/office/spreadsheetml/2009/9/main" objectType="Drop" dropLines="3" dropStyle="combo" dx="48" fmlaLink="$G$83" fmlaRange="$F$83:$F$85" noThreeD="1" sel="1" val="0"/>
</file>

<file path=xl/ctrlProps/ctrlProp26.xml><?xml version="1.0" encoding="utf-8"?>
<formControlPr xmlns="http://schemas.microsoft.com/office/spreadsheetml/2009/9/main" objectType="Drop" dropLines="3" dropStyle="combo" dx="48" fmlaLink="$G$86" fmlaRange="$F$86:$F$88" noThreeD="1" sel="1" val="0"/>
</file>

<file path=xl/ctrlProps/ctrlProp27.xml><?xml version="1.0" encoding="utf-8"?>
<formControlPr xmlns="http://schemas.microsoft.com/office/spreadsheetml/2009/9/main" objectType="Drop" dropLines="3" dropStyle="combo" dx="48" fmlaLink="$G$3" fmlaRange="$F$3:$F$5" noThreeD="1" sel="1" val="0"/>
</file>

<file path=xl/ctrlProps/ctrlProp28.xml><?xml version="1.0" encoding="utf-8"?>
<formControlPr xmlns="http://schemas.microsoft.com/office/spreadsheetml/2009/9/main" objectType="Drop" dropLines="3" dropStyle="combo" dx="48" fmlaLink="$G$8" fmlaRange="$F$8:$F$10" noThreeD="1" sel="1" val="0"/>
</file>

<file path=xl/ctrlProps/ctrlProp29.xml><?xml version="1.0" encoding="utf-8"?>
<formControlPr xmlns="http://schemas.microsoft.com/office/spreadsheetml/2009/9/main" objectType="Drop" dropLines="3" dropStyle="combo" dx="48" fmlaLink="$G$11" fmlaRange="$F$11:$F$13" noThreeD="1" sel="1" val="0"/>
</file>

<file path=xl/ctrlProps/ctrlProp30.xml><?xml version="1.0" encoding="utf-8"?>
<formControlPr xmlns="http://schemas.microsoft.com/office/spreadsheetml/2009/9/main" objectType="Drop" dropLines="3" dropStyle="combo" dx="48" fmlaLink="$G$14" fmlaRange="$F$14:$F$16" noThreeD="1" sel="1" val="0"/>
</file>

<file path=xl/ctrlProps/ctrlProp31.xml><?xml version="1.0" encoding="utf-8"?>
<formControlPr xmlns="http://schemas.microsoft.com/office/spreadsheetml/2009/9/main" objectType="Drop" dropLines="3" dropStyle="combo" dx="48" fmlaLink="$G$17" fmlaRange="$F$17:$F$19" noThreeD="1" sel="1" val="0"/>
</file>

<file path=xl/ctrlProps/ctrlProp32.xml><?xml version="1.0" encoding="utf-8"?>
<formControlPr xmlns="http://schemas.microsoft.com/office/spreadsheetml/2009/9/main" objectType="Drop" dropLines="4" dropStyle="combo" dx="48" fmlaLink="$G$20" fmlaRange="$F$20:$F$23" noThreeD="1" sel="1" val="0"/>
</file>

<file path=xl/ctrlProps/ctrlProp33.xml><?xml version="1.0" encoding="utf-8"?>
<formControlPr xmlns="http://schemas.microsoft.com/office/spreadsheetml/2009/9/main" objectType="Drop" dropLines="3" dropStyle="combo" dx="48" fmlaLink="$G$25" fmlaRange="$F$25:$F$27" noThreeD="1" sel="1" val="0"/>
</file>

<file path=xl/ctrlProps/ctrlProp34.xml><?xml version="1.0" encoding="utf-8"?>
<formControlPr xmlns="http://schemas.microsoft.com/office/spreadsheetml/2009/9/main" objectType="Drop" dropLines="3" dropStyle="combo" dx="48" fmlaLink="$G$28" fmlaRange="$F$28:$F$30" noThreeD="1" sel="1" val="0"/>
</file>

<file path=xl/ctrlProps/ctrlProp35.xml><?xml version="1.0" encoding="utf-8"?>
<formControlPr xmlns="http://schemas.microsoft.com/office/spreadsheetml/2009/9/main" objectType="Drop" dropLines="4" dropStyle="combo" dx="48" fmlaLink="$G$31" fmlaRange="$F$31:$F$34" noThreeD="1" sel="1" val="0"/>
</file>

<file path=xl/ctrlProps/ctrlProp36.xml><?xml version="1.0" encoding="utf-8"?>
<formControlPr xmlns="http://schemas.microsoft.com/office/spreadsheetml/2009/9/main" objectType="Drop" dropLines="3" dropStyle="combo" dx="48" fmlaLink="$G$35" fmlaRange="$F$35:$F$37" noThreeD="1" sel="1" val="0"/>
</file>

<file path=xl/ctrlProps/ctrlProp37.xml><?xml version="1.0" encoding="utf-8"?>
<formControlPr xmlns="http://schemas.microsoft.com/office/spreadsheetml/2009/9/main" objectType="Drop" dropLines="3" dropStyle="combo" dx="48" fmlaLink="$G$38" fmlaRange="$F$38:$F$40" noThreeD="1" sel="1" val="0"/>
</file>

<file path=xl/ctrlProps/ctrlProp38.xml><?xml version="1.0" encoding="utf-8"?>
<formControlPr xmlns="http://schemas.microsoft.com/office/spreadsheetml/2009/9/main" objectType="Drop" dropLines="3" dropStyle="combo" dx="48" fmlaLink="$G$41" fmlaRange="$F$41:$F$43" noThreeD="1" sel="1" val="0"/>
</file>

<file path=xl/ctrlProps/ctrlProp39.xml><?xml version="1.0" encoding="utf-8"?>
<formControlPr xmlns="http://schemas.microsoft.com/office/spreadsheetml/2009/9/main" objectType="Drop" dropLines="3" dropStyle="combo" dx="48" fmlaLink="$G$44" fmlaRange="$F$44:$F$46" noThreeD="1" sel="1" val="0"/>
</file>

<file path=xl/ctrlProps/ctrlProp40.xml><?xml version="1.0" encoding="utf-8"?>
<formControlPr xmlns="http://schemas.microsoft.com/office/spreadsheetml/2009/9/main" objectType="Drop" dropLines="3" dropStyle="combo" dx="48" fmlaLink="$G$47" fmlaRange="$F$47:$F$49" noThreeD="1" sel="1" val="0"/>
</file>

<file path=xl/ctrlProps/ctrlProp41.xml><?xml version="1.0" encoding="utf-8"?>
<formControlPr xmlns="http://schemas.microsoft.com/office/spreadsheetml/2009/9/main" objectType="Drop" dropLines="3" dropStyle="combo" dx="48" fmlaLink="$G$51" fmlaRange="$F$50:$F$52" noThreeD="1" sel="1" val="0"/>
</file>

<file path=xl/ctrlProps/ctrlProp42.xml><?xml version="1.0" encoding="utf-8"?>
<formControlPr xmlns="http://schemas.microsoft.com/office/spreadsheetml/2009/9/main" objectType="Drop" dropLines="3" dropStyle="combo" dx="48" fmlaLink="$G$53" fmlaRange="$F$53:$F$55" noThreeD="1" sel="1" val="0"/>
</file>

<file path=xl/ctrlProps/ctrlProp43.xml><?xml version="1.0" encoding="utf-8"?>
<formControlPr xmlns="http://schemas.microsoft.com/office/spreadsheetml/2009/9/main" objectType="Drop" dropLines="3" dropStyle="combo" dx="48" fmlaLink="$G$57" fmlaRange="$F$57:$F$59" noThreeD="1" sel="1" val="0"/>
</file>

<file path=xl/ctrlProps/ctrlProp44.xml><?xml version="1.0" encoding="utf-8"?>
<formControlPr xmlns="http://schemas.microsoft.com/office/spreadsheetml/2009/9/main" objectType="Drop" dropLines="3" dropStyle="combo" dx="48" fmlaLink="$G$60" fmlaRange="$F$60:$F$62" noThreeD="1" sel="1" val="0"/>
</file>

<file path=xl/ctrlProps/ctrlProp45.xml><?xml version="1.0" encoding="utf-8"?>
<formControlPr xmlns="http://schemas.microsoft.com/office/spreadsheetml/2009/9/main" objectType="Drop" dropLines="4" dropStyle="combo" dx="48" fmlaLink="$G$63" fmlaRange="$F$63:$F$66" noThreeD="1" sel="1" val="0"/>
</file>

<file path=xl/ctrlProps/ctrlProp46.xml><?xml version="1.0" encoding="utf-8"?>
<formControlPr xmlns="http://schemas.microsoft.com/office/spreadsheetml/2009/9/main" objectType="Drop" dropLines="3" dropStyle="combo" dx="48" fmlaLink="$G$67" fmlaRange="$F$67:$F$69" noThreeD="1" sel="1" val="0"/>
</file>

<file path=xl/ctrlProps/ctrlProp47.xml><?xml version="1.0" encoding="utf-8"?>
<formControlPr xmlns="http://schemas.microsoft.com/office/spreadsheetml/2009/9/main" objectType="Drop" dropLines="3" dropStyle="combo" dx="48" fmlaLink="$G$70" fmlaRange="$F$70:$F$72" noThreeD="1" sel="1" val="0"/>
</file>

<file path=xl/ctrlProps/ctrlProp48.xml><?xml version="1.0" encoding="utf-8"?>
<formControlPr xmlns="http://schemas.microsoft.com/office/spreadsheetml/2009/9/main" objectType="Drop" dropLines="3" dropStyle="combo" dx="48" fmlaLink="$G$73" fmlaRange="$F$73:$F$75" noThreeD="1" sel="1" val="0"/>
</file>

<file path=xl/ctrlProps/ctrlProp49.xml><?xml version="1.0" encoding="utf-8"?>
<formControlPr xmlns="http://schemas.microsoft.com/office/spreadsheetml/2009/9/main" objectType="Drop" dropLines="3" dropStyle="combo" dx="48" fmlaLink="$G$77" fmlaRange="$F$77:$F$79" noThreeD="1" sel="1" val="0"/>
</file>

<file path=xl/ctrlProps/ctrlProp50.xml><?xml version="1.0" encoding="utf-8"?>
<formControlPr xmlns="http://schemas.microsoft.com/office/spreadsheetml/2009/9/main" objectType="Drop" dropLines="3" dropStyle="combo" dx="48" fmlaLink="$G$80" fmlaRange="$F$80:$F$82" noThreeD="1" sel="1" val="0"/>
</file>

<file path=xl/ctrlProps/ctrlProp51.xml><?xml version="1.0" encoding="utf-8"?>
<formControlPr xmlns="http://schemas.microsoft.com/office/spreadsheetml/2009/9/main" objectType="Drop" dropLines="3" dropStyle="combo" dx="48" fmlaLink="$G$83" fmlaRange="$F$83:$F$85" noThreeD="1" sel="1" val="0"/>
</file>

<file path=xl/ctrlProps/ctrlProp52.xml><?xml version="1.0" encoding="utf-8"?>
<formControlPr xmlns="http://schemas.microsoft.com/office/spreadsheetml/2009/9/main" objectType="Drop" dropLines="3" dropStyle="combo" dx="48" fmlaLink="$G$86" fmlaRange="$F$86:$F$88" noThreeD="1" sel="1" val="0"/>
</file>

<file path=xl/ctrlProps/ctrlProp53.xml><?xml version="1.0" encoding="utf-8"?>
<formControlPr xmlns="http://schemas.microsoft.com/office/spreadsheetml/2009/9/main" objectType="CheckBox" fmlaLink="D4" lockText="1"/>
</file>

<file path=xl/ctrlProps/ctrlProp54.xml><?xml version="1.0" encoding="utf-8"?>
<formControlPr xmlns="http://schemas.microsoft.com/office/spreadsheetml/2009/9/main" objectType="CheckBox" fmlaLink="$D$5" lockText="1"/>
</file>

<file path=xl/ctrlProps/ctrlProp55.xml><?xml version="1.0" encoding="utf-8"?>
<formControlPr xmlns="http://schemas.microsoft.com/office/spreadsheetml/2009/9/main" objectType="CheckBox" fmlaLink="$D$6" lockText="1"/>
</file>

<file path=xl/ctrlProps/ctrlProp56.xml><?xml version="1.0" encoding="utf-8"?>
<formControlPr xmlns="http://schemas.microsoft.com/office/spreadsheetml/2009/9/main" objectType="CheckBox" fmlaLink="$D$7" lockText="1"/>
</file>

<file path=xl/ctrlProps/ctrlProp57.xml><?xml version="1.0" encoding="utf-8"?>
<formControlPr xmlns="http://schemas.microsoft.com/office/spreadsheetml/2009/9/main" objectType="CheckBox" fmlaLink="$D$8" lockText="1"/>
</file>

<file path=xl/ctrlProps/ctrlProp58.xml><?xml version="1.0" encoding="utf-8"?>
<formControlPr xmlns="http://schemas.microsoft.com/office/spreadsheetml/2009/9/main" objectType="CheckBox" fmlaLink="$D$9" lockText="1"/>
</file>

<file path=xl/ctrlProps/ctrlProp59.xml><?xml version="1.0" encoding="utf-8"?>
<formControlPr xmlns="http://schemas.microsoft.com/office/spreadsheetml/2009/9/main" objectType="CheckBox" fmlaLink="$D$10" lockText="1"/>
</file>

<file path=xl/ctrlProps/ctrlProp60.xml><?xml version="1.0" encoding="utf-8"?>
<formControlPr xmlns="http://schemas.microsoft.com/office/spreadsheetml/2009/9/main" objectType="CheckBox" fmlaLink="$D$11" lockText="1"/>
</file>

<file path=xl/ctrlProps/ctrlProp61.xml><?xml version="1.0" encoding="utf-8"?>
<formControlPr xmlns="http://schemas.microsoft.com/office/spreadsheetml/2009/9/main" objectType="CheckBox" fmlaLink="$D$12" lockText="1"/>
</file>

<file path=xl/ctrlProps/ctrlProp62.xml><?xml version="1.0" encoding="utf-8"?>
<formControlPr xmlns="http://schemas.microsoft.com/office/spreadsheetml/2009/9/main" objectType="CheckBox" fmlaLink="$D$13" lockText="1"/>
</file>

<file path=xl/ctrlProps/ctrlProp63.xml><?xml version="1.0" encoding="utf-8"?>
<formControlPr xmlns="http://schemas.microsoft.com/office/spreadsheetml/2009/9/main" objectType="CheckBox" fmlaLink="$D$14" lockText="1"/>
</file>

<file path=xl/ctrlProps/ctrlProp64.xml><?xml version="1.0" encoding="utf-8"?>
<formControlPr xmlns="http://schemas.microsoft.com/office/spreadsheetml/2009/9/main" objectType="CheckBox" fmlaLink="$D$15" lockText="1"/>
</file>

<file path=xl/ctrlProps/ctrlProp65.xml><?xml version="1.0" encoding="utf-8"?>
<formControlPr xmlns="http://schemas.microsoft.com/office/spreadsheetml/2009/9/main" objectType="CheckBox" fmlaLink="$D$16" lockText="1"/>
</file>

<file path=xl/ctrlProps/ctrlProp66.xml><?xml version="1.0" encoding="utf-8"?>
<formControlPr xmlns="http://schemas.microsoft.com/office/spreadsheetml/2009/9/main" objectType="CheckBox" fmlaLink="$D$17" lockText="1"/>
</file>

<file path=xl/ctrlProps/ctrlProp67.xml><?xml version="1.0" encoding="utf-8"?>
<formControlPr xmlns="http://schemas.microsoft.com/office/spreadsheetml/2009/9/main" objectType="CheckBox" fmlaLink="$D$18" lockText="1"/>
</file>

<file path=xl/ctrlProps/ctrlProp68.xml><?xml version="1.0" encoding="utf-8"?>
<formControlPr xmlns="http://schemas.microsoft.com/office/spreadsheetml/2009/9/main" objectType="CheckBox" fmlaLink="D19" lockText="1"/>
</file>

<file path=xl/ctrlProps/ctrlProp69.xml><?xml version="1.0" encoding="utf-8"?>
<formControlPr xmlns="http://schemas.microsoft.com/office/spreadsheetml/2009/9/main" objectType="CheckBox" fmlaLink="$D$20" lockText="1"/>
</file>

<file path=xl/ctrlProps/ctrlProp70.xml><?xml version="1.0" encoding="utf-8"?>
<formControlPr xmlns="http://schemas.microsoft.com/office/spreadsheetml/2009/9/main" objectType="CheckBox" fmlaLink="$D$21" lockText="1"/>
</file>

<file path=xl/ctrlProps/ctrlProp71.xml><?xml version="1.0" encoding="utf-8"?>
<formControlPr xmlns="http://schemas.microsoft.com/office/spreadsheetml/2009/9/main" objectType="CheckBox" fmlaLink="$D$22" lockText="1"/>
</file>

<file path=xl/ctrlProps/ctrlProp72.xml><?xml version="1.0" encoding="utf-8"?>
<formControlPr xmlns="http://schemas.microsoft.com/office/spreadsheetml/2009/9/main" objectType="CheckBox" fmlaLink="$D$23" lockText="1"/>
</file>

<file path=xl/ctrlProps/ctrlProp73.xml><?xml version="1.0" encoding="utf-8"?>
<formControlPr xmlns="http://schemas.microsoft.com/office/spreadsheetml/2009/9/main" objectType="CheckBox" fmlaLink="D24" lockText="1"/>
</file>

<file path=xl/ctrlProps/ctrlProp74.xml><?xml version="1.0" encoding="utf-8"?>
<formControlPr xmlns="http://schemas.microsoft.com/office/spreadsheetml/2009/9/main" objectType="CheckBox" fmlaLink="$D$25" lockText="1"/>
</file>

<file path=xl/ctrlProps/ctrlProp75.xml><?xml version="1.0" encoding="utf-8"?>
<formControlPr xmlns="http://schemas.microsoft.com/office/spreadsheetml/2009/9/main" objectType="CheckBox" fmlaLink="$D$26" lockText="1"/>
</file>

<file path=xl/ctrlProps/ctrlProp76.xml><?xml version="1.0" encoding="utf-8"?>
<formControlPr xmlns="http://schemas.microsoft.com/office/spreadsheetml/2009/9/main" objectType="CheckBox" fmlaLink="$D$27" lockText="1"/>
</file>

<file path=xl/ctrlProps/ctrlProp77.xml><?xml version="1.0" encoding="utf-8"?>
<formControlPr xmlns="http://schemas.microsoft.com/office/spreadsheetml/2009/9/main" objectType="CheckBox" fmlaLink="$D$28" lockText="1"/>
</file>

<file path=xl/ctrlProps/ctrlProp78.xml><?xml version="1.0" encoding="utf-8"?>
<formControlPr xmlns="http://schemas.microsoft.com/office/spreadsheetml/2009/9/main" objectType="CheckBox" fmlaLink="D4" lockText="1"/>
</file>

<file path=xl/ctrlProps/ctrlProp79.xml><?xml version="1.0" encoding="utf-8"?>
<formControlPr xmlns="http://schemas.microsoft.com/office/spreadsheetml/2009/9/main" objectType="CheckBox" fmlaLink="$D$5" lockText="1"/>
</file>

<file path=xl/ctrlProps/ctrlProp80.xml><?xml version="1.0" encoding="utf-8"?>
<formControlPr xmlns="http://schemas.microsoft.com/office/spreadsheetml/2009/9/main" objectType="CheckBox" fmlaLink="$D$6" lockText="1"/>
</file>

<file path=xl/ctrlProps/ctrlProp81.xml><?xml version="1.0" encoding="utf-8"?>
<formControlPr xmlns="http://schemas.microsoft.com/office/spreadsheetml/2009/9/main" objectType="CheckBox" fmlaLink="$D$7" lockText="1"/>
</file>

<file path=xl/ctrlProps/ctrlProp82.xml><?xml version="1.0" encoding="utf-8"?>
<formControlPr xmlns="http://schemas.microsoft.com/office/spreadsheetml/2009/9/main" objectType="CheckBox" fmlaLink="$D$8" lockText="1"/>
</file>

<file path=xl/ctrlProps/ctrlProp83.xml><?xml version="1.0" encoding="utf-8"?>
<formControlPr xmlns="http://schemas.microsoft.com/office/spreadsheetml/2009/9/main" objectType="CheckBox" fmlaLink="$D$9" lockText="1"/>
</file>

<file path=xl/ctrlProps/ctrlProp84.xml><?xml version="1.0" encoding="utf-8"?>
<formControlPr xmlns="http://schemas.microsoft.com/office/spreadsheetml/2009/9/main" objectType="CheckBox" fmlaLink="$D$10" lockText="1"/>
</file>

<file path=xl/ctrlProps/ctrlProp85.xml><?xml version="1.0" encoding="utf-8"?>
<formControlPr xmlns="http://schemas.microsoft.com/office/spreadsheetml/2009/9/main" objectType="CheckBox" fmlaLink="$D$11" lockText="1"/>
</file>

<file path=xl/ctrlProps/ctrlProp86.xml><?xml version="1.0" encoding="utf-8"?>
<formControlPr xmlns="http://schemas.microsoft.com/office/spreadsheetml/2009/9/main" objectType="CheckBox" fmlaLink="$D$12" lockText="1"/>
</file>

<file path=xl/ctrlProps/ctrlProp87.xml><?xml version="1.0" encoding="utf-8"?>
<formControlPr xmlns="http://schemas.microsoft.com/office/spreadsheetml/2009/9/main" objectType="CheckBox" fmlaLink="$D$13" lockText="1"/>
</file>

<file path=xl/ctrlProps/ctrlProp88.xml><?xml version="1.0" encoding="utf-8"?>
<formControlPr xmlns="http://schemas.microsoft.com/office/spreadsheetml/2009/9/main" objectType="CheckBox" fmlaLink="$D$14" lockText="1"/>
</file>

<file path=xl/ctrlProps/ctrlProp89.xml><?xml version="1.0" encoding="utf-8"?>
<formControlPr xmlns="http://schemas.microsoft.com/office/spreadsheetml/2009/9/main" objectType="CheckBox" fmlaLink="$D$15" lockText="1"/>
</file>

<file path=xl/ctrlProps/ctrlProp90.xml><?xml version="1.0" encoding="utf-8"?>
<formControlPr xmlns="http://schemas.microsoft.com/office/spreadsheetml/2009/9/main" objectType="CheckBox" fmlaLink="$D$16" lockText="1"/>
</file>

<file path=xl/ctrlProps/ctrlProp91.xml><?xml version="1.0" encoding="utf-8"?>
<formControlPr xmlns="http://schemas.microsoft.com/office/spreadsheetml/2009/9/main" objectType="CheckBox" fmlaLink="$D$17" lockText="1"/>
</file>

<file path=xl/ctrlProps/ctrlProp92.xml><?xml version="1.0" encoding="utf-8"?>
<formControlPr xmlns="http://schemas.microsoft.com/office/spreadsheetml/2009/9/main" objectType="CheckBox" fmlaLink="$D$18" lockText="1"/>
</file>

<file path=xl/ctrlProps/ctrlProp93.xml><?xml version="1.0" encoding="utf-8"?>
<formControlPr xmlns="http://schemas.microsoft.com/office/spreadsheetml/2009/9/main" objectType="CheckBox" fmlaLink="D19" lockText="1"/>
</file>

<file path=xl/ctrlProps/ctrlProp94.xml><?xml version="1.0" encoding="utf-8"?>
<formControlPr xmlns="http://schemas.microsoft.com/office/spreadsheetml/2009/9/main" objectType="CheckBox" fmlaLink="$D$20" lockText="1"/>
</file>

<file path=xl/ctrlProps/ctrlProp95.xml><?xml version="1.0" encoding="utf-8"?>
<formControlPr xmlns="http://schemas.microsoft.com/office/spreadsheetml/2009/9/main" objectType="CheckBox" fmlaLink="$D$21" lockText="1"/>
</file>

<file path=xl/ctrlProps/ctrlProp96.xml><?xml version="1.0" encoding="utf-8"?>
<formControlPr xmlns="http://schemas.microsoft.com/office/spreadsheetml/2009/9/main" objectType="CheckBox" fmlaLink="$D$22" lockText="1"/>
</file>

<file path=xl/ctrlProps/ctrlProp97.xml><?xml version="1.0" encoding="utf-8"?>
<formControlPr xmlns="http://schemas.microsoft.com/office/spreadsheetml/2009/9/main" objectType="CheckBox" fmlaLink="$D$23" lockText="1"/>
</file>

<file path=xl/ctrlProps/ctrlProp98.xml><?xml version="1.0" encoding="utf-8"?>
<formControlPr xmlns="http://schemas.microsoft.com/office/spreadsheetml/2009/9/main" objectType="CheckBox" fmlaLink="D24" lockText="1"/>
</file>

<file path=xl/ctrlProps/ctrlProp99.xml><?xml version="1.0" encoding="utf-8"?>
<formControlPr xmlns="http://schemas.microsoft.com/office/spreadsheetml/2009/9/main" objectType="CheckBox" fmlaLink="$D$25" lockText="1"/>
</file>

<file path=xl/ctrlProps/ctrlProp100.xml><?xml version="1.0" encoding="utf-8"?>
<formControlPr xmlns="http://schemas.microsoft.com/office/spreadsheetml/2009/9/main" objectType="CheckBox" fmlaLink="$D$26" lockText="1"/>
</file>

<file path=xl/ctrlProps/ctrlProp101.xml><?xml version="1.0" encoding="utf-8"?>
<formControlPr xmlns="http://schemas.microsoft.com/office/spreadsheetml/2009/9/main" objectType="CheckBox" fmlaLink="$D$27" lockText="1"/>
</file>

<file path=xl/ctrlProps/ctrlProp102.xml><?xml version="1.0" encoding="utf-8"?>
<formControlPr xmlns="http://schemas.microsoft.com/office/spreadsheetml/2009/9/main" objectType="CheckBox" fmlaLink="$D$28" lockText="1"/>
</file>

<file path=xl/ctrlProps/ctrlProp103.xml><?xml version="1.0" encoding="utf-8"?>
<formControlPr xmlns="http://schemas.microsoft.com/office/spreadsheetml/2009/9/main" objectType="Drop" dropLines="5" dropStyle="combo" dx="48" fmlaLink="$G$5" fmlaRange="$G$6:$G$10" noThreeD="1" sel="1" val="0"/>
</file>

<file path=xl/ctrlProps/ctrlProp104.xml><?xml version="1.0" encoding="utf-8"?>
<formControlPr xmlns="http://schemas.microsoft.com/office/spreadsheetml/2009/9/main" objectType="Drop" dropLines="5" dropStyle="combo" dx="48" fmlaLink="$H$5" fmlaRange="$H$6:$H$10" noThreeD="1" sel="1" val="0"/>
</file>

<file path=xl/ctrlProps/ctrlProp105.xml><?xml version="1.0" encoding="utf-8"?>
<formControlPr xmlns="http://schemas.microsoft.com/office/spreadsheetml/2009/9/main" objectType="Drop" dropLines="5" dropStyle="combo" dx="48" fmlaLink="$I$5" fmlaRange="$I$6:$I$10" noThreeD="1" sel="1" val="0"/>
</file>

<file path=xl/ctrlProps/ctrlProp106.xml><?xml version="1.0" encoding="utf-8"?>
<formControlPr xmlns="http://schemas.microsoft.com/office/spreadsheetml/2009/9/main" objectType="Drop" dropLines="5" dropStyle="combo" dx="48" fmlaLink="$J$5" fmlaRange="$J$6:$J$10" noThreeD="1" sel="1" val="0"/>
</file>

<file path=xl/ctrlProps/ctrlProp107.xml><?xml version="1.0" encoding="utf-8"?>
<formControlPr xmlns="http://schemas.microsoft.com/office/spreadsheetml/2009/9/main" objectType="Drop" dropLines="5" dropStyle="combo" dx="48" fmlaLink="$K$5" fmlaRange="$K$6:$K$10" noThreeD="1" sel="1" val="0"/>
</file>

<file path=xl/ctrlProps/ctrlProp108.xml><?xml version="1.0" encoding="utf-8"?>
<formControlPr xmlns="http://schemas.microsoft.com/office/spreadsheetml/2009/9/main" objectType="Drop" dropLines="5" dropStyle="combo" dx="48" fmlaLink="$L$5" fmlaRange="$L$6:$L$10" noThreeD="1" sel="1" val="0"/>
</file>

<file path=xl/ctrlProps/ctrlProp109.xml><?xml version="1.0" encoding="utf-8"?>
<formControlPr xmlns="http://schemas.microsoft.com/office/spreadsheetml/2009/9/main" objectType="Drop" dropLines="5" dropStyle="combo" dx="48" fmlaLink="$M$5" fmlaRange="$M$6:$M$10" noThreeD="1" sel="1" val="0"/>
</file>

<file path=xl/ctrlProps/ctrlProp110.xml><?xml version="1.0" encoding="utf-8"?>
<formControlPr xmlns="http://schemas.microsoft.com/office/spreadsheetml/2009/9/main" objectType="Drop" dropLines="5" dropStyle="combo" dx="48" fmlaLink="$N$5" fmlaRange="$N$6:$N$10" noThreeD="1" sel="1" val="0"/>
</file>

<file path=xl/ctrlProps/ctrlProp111.xml><?xml version="1.0" encoding="utf-8"?>
<formControlPr xmlns="http://schemas.microsoft.com/office/spreadsheetml/2009/9/main" objectType="Drop" dropLines="5" dropStyle="combo" dx="48" fmlaLink="$O$5" fmlaRange="$O$6:$O$10" noThreeD="1" sel="1" val="0"/>
</file>

<file path=xl/ctrlProps/ctrlProp112.xml><?xml version="1.0" encoding="utf-8"?>
<formControlPr xmlns="http://schemas.microsoft.com/office/spreadsheetml/2009/9/main" objectType="Drop" dropLines="5" dropStyle="combo" dx="48" fmlaLink="$P$5" fmlaRange="$P$6:$P$10" noThreeD="1" sel="1" val="0"/>
</file>

<file path=xl/ctrlProps/ctrlProp113.xml><?xml version="1.0" encoding="utf-8"?>
<formControlPr xmlns="http://schemas.microsoft.com/office/spreadsheetml/2009/9/main" objectType="Drop" dropLines="5" dropStyle="combo" dx="48" fmlaLink="$Q$5" fmlaRange="$Q$6:$Q$10" noThreeD="1" sel="1" val="0"/>
</file>

<file path=xl/ctrlProps/ctrlProp114.xml><?xml version="1.0" encoding="utf-8"?>
<formControlPr xmlns="http://schemas.microsoft.com/office/spreadsheetml/2009/9/main" objectType="Drop" dropLines="5" dropStyle="combo" dx="48" fmlaLink="$R$5" fmlaRange="$R$6:$R$10" noThreeD="1" sel="1" val="0"/>
</file>

<file path=xl/ctrlProps/ctrlProp115.xml><?xml version="1.0" encoding="utf-8"?>
<formControlPr xmlns="http://schemas.microsoft.com/office/spreadsheetml/2009/9/main" objectType="Drop" dropLines="5" dropStyle="combo" dx="48" fmlaLink="$S$5" fmlaRange="$S$6:$S$10" noThreeD="1" sel="1" val="0"/>
</file>

<file path=xl/ctrlProps/ctrlProp116.xml><?xml version="1.0" encoding="utf-8"?>
<formControlPr xmlns="http://schemas.microsoft.com/office/spreadsheetml/2009/9/main" objectType="Drop" dropLines="5" dropStyle="combo" dx="48" fmlaLink="$T$5" fmlaRange="$T$6:$T$10" noThreeD="1" sel="1" val="0"/>
</file>

<file path=xl/ctrlProps/ctrlProp117.xml><?xml version="1.0" encoding="utf-8"?>
<formControlPr xmlns="http://schemas.microsoft.com/office/spreadsheetml/2009/9/main" objectType="Drop" dropLines="5" dropStyle="combo" dx="48" fmlaLink="$U$5" fmlaRange="$U$6:$U$10" noThreeD="1" sel="1" val="0"/>
</file>

<file path=xl/ctrlProps/ctrlProp118.xml><?xml version="1.0" encoding="utf-8"?>
<formControlPr xmlns="http://schemas.microsoft.com/office/spreadsheetml/2009/9/main" objectType="CheckBox" fmlaLink="H5" lockText="1"/>
</file>

<file path=xl/ctrlProps/ctrlProp119.xml><?xml version="1.0" encoding="utf-8"?>
<formControlPr xmlns="http://schemas.microsoft.com/office/spreadsheetml/2009/9/main" objectType="CheckBox" fmlaLink="$H$6" lockText="1"/>
</file>

<file path=xl/ctrlProps/ctrlProp120.xml><?xml version="1.0" encoding="utf-8"?>
<formControlPr xmlns="http://schemas.microsoft.com/office/spreadsheetml/2009/9/main" objectType="CheckBox" fmlaLink="$H$7" lockText="1"/>
</file>

<file path=xl/ctrlProps/ctrlProp121.xml><?xml version="1.0" encoding="utf-8"?>
<formControlPr xmlns="http://schemas.microsoft.com/office/spreadsheetml/2009/9/main" objectType="CheckBox" fmlaLink="$H$8" lockText="1"/>
</file>

<file path=xl/ctrlProps/ctrlProp122.xml><?xml version="1.0" encoding="utf-8"?>
<formControlPr xmlns="http://schemas.microsoft.com/office/spreadsheetml/2009/9/main" objectType="CheckBox" fmlaLink="$H$9" lockText="1"/>
</file>

<file path=xl/ctrlProps/ctrlProp123.xml><?xml version="1.0" encoding="utf-8"?>
<formControlPr xmlns="http://schemas.microsoft.com/office/spreadsheetml/2009/9/main" objectType="CheckBox" fmlaLink="$H$10" lockText="1"/>
</file>

<file path=xl/ctrlProps/ctrlProp124.xml><?xml version="1.0" encoding="utf-8"?>
<formControlPr xmlns="http://schemas.microsoft.com/office/spreadsheetml/2009/9/main" objectType="CheckBox" fmlaLink="$H$11" lockText="1"/>
</file>

<file path=xl/ctrlProps/ctrlProp125.xml><?xml version="1.0" encoding="utf-8"?>
<formControlPr xmlns="http://schemas.microsoft.com/office/spreadsheetml/2009/9/main" objectType="CheckBox" fmlaLink="H12" lockText="1"/>
</file>

<file path=xl/ctrlProps/ctrlProp126.xml><?xml version="1.0" encoding="utf-8"?>
<formControlPr xmlns="http://schemas.microsoft.com/office/spreadsheetml/2009/9/main" objectType="CheckBox" fmlaLink="$H$13" lockText="1"/>
</file>

<file path=xl/ctrlProps/ctrlProp127.xml><?xml version="1.0" encoding="utf-8"?>
<formControlPr xmlns="http://schemas.microsoft.com/office/spreadsheetml/2009/9/main" objectType="CheckBox" fmlaLink="$H$14" lockText="1"/>
</file>

<file path=xl/ctrlProps/ctrlProp128.xml><?xml version="1.0" encoding="utf-8"?>
<formControlPr xmlns="http://schemas.microsoft.com/office/spreadsheetml/2009/9/main" objectType="CheckBox" fmlaLink="$H$15" lockText="1"/>
</file>

<file path=xl/ctrlProps/ctrlProp129.xml><?xml version="1.0" encoding="utf-8"?>
<formControlPr xmlns="http://schemas.microsoft.com/office/spreadsheetml/2009/9/main" objectType="CheckBox" fmlaLink="$H$16" lockText="1"/>
</file>

<file path=xl/ctrlProps/ctrlProp130.xml><?xml version="1.0" encoding="utf-8"?>
<formControlPr xmlns="http://schemas.microsoft.com/office/spreadsheetml/2009/9/main" objectType="CheckBox" fmlaLink="$H$17" lockText="1"/>
</file>

<file path=xl/ctrlProps/ctrlProp131.xml><?xml version="1.0" encoding="utf-8"?>
<formControlPr xmlns="http://schemas.microsoft.com/office/spreadsheetml/2009/9/main" objectType="CheckBox" fmlaLink="$H$18" lockText="1"/>
</file>

<file path=xl/ctrlProps/ctrlProp132.xml><?xml version="1.0" encoding="utf-8"?>
<formControlPr xmlns="http://schemas.microsoft.com/office/spreadsheetml/2009/9/main" objectType="CheckBox" fmlaLink="$H$19" lockText="1"/>
</file>

<file path=xl/ctrlProps/ctrlProp133.xml><?xml version="1.0" encoding="utf-8"?>
<formControlPr xmlns="http://schemas.microsoft.com/office/spreadsheetml/2009/9/main" objectType="CheckBox" fmlaLink="$H$20" lockText="1"/>
</file>

<file path=xl/ctrlProps/ctrlProp134.xml><?xml version="1.0" encoding="utf-8"?>
<formControlPr xmlns="http://schemas.microsoft.com/office/spreadsheetml/2009/9/main" objectType="CheckBox" fmlaLink="$H$21" lockText="1"/>
</file>

<file path=xl/ctrlProps/ctrlProp135.xml><?xml version="1.0" encoding="utf-8"?>
<formControlPr xmlns="http://schemas.microsoft.com/office/spreadsheetml/2009/9/main" objectType="CheckBox" fmlaLink="$H$22" lockText="1"/>
</file>

<file path=xl/ctrlProps/ctrlProp136.xml><?xml version="1.0" encoding="utf-8"?>
<formControlPr xmlns="http://schemas.microsoft.com/office/spreadsheetml/2009/9/main" objectType="CheckBox" fmlaLink="$H$23" lockText="1"/>
</file>

<file path=xl/ctrlProps/ctrlProp137.xml><?xml version="1.0" encoding="utf-8"?>
<formControlPr xmlns="http://schemas.microsoft.com/office/spreadsheetml/2009/9/main" objectType="CheckBox" fmlaLink="$H$24" lockText="1"/>
</file>

<file path=xl/ctrlProps/ctrlProp138.xml><?xml version="1.0" encoding="utf-8"?>
<formControlPr xmlns="http://schemas.microsoft.com/office/spreadsheetml/2009/9/main" objectType="CheckBox" fmlaLink="$H$25" lockText="1"/>
</file>

<file path=xl/ctrlProps/ctrlProp139.xml><?xml version="1.0" encoding="utf-8"?>
<formControlPr xmlns="http://schemas.microsoft.com/office/spreadsheetml/2009/9/main" objectType="CheckBox" fmlaLink="$H$26" lockText="1"/>
</file>

<file path=xl/ctrlProps/ctrlProp140.xml><?xml version="1.0" encoding="utf-8"?>
<formControlPr xmlns="http://schemas.microsoft.com/office/spreadsheetml/2009/9/main" objectType="CheckBox" fmlaLink="$H$27" lockText="1"/>
</file>

<file path=xl/ctrlProps/ctrlProp141.xml><?xml version="1.0" encoding="utf-8"?>
<formControlPr xmlns="http://schemas.microsoft.com/office/spreadsheetml/2009/9/main" objectType="CheckBox" fmlaLink="$H$28" lockText="1"/>
</file>

<file path=xl/ctrlProps/ctrlProp142.xml><?xml version="1.0" encoding="utf-8"?>
<formControlPr xmlns="http://schemas.microsoft.com/office/spreadsheetml/2009/9/main" objectType="CheckBox" fmlaLink="$H$29" lockText="1"/>
</file>

<file path=xl/ctrlProps/ctrlProp143.xml><?xml version="1.0" encoding="utf-8"?>
<formControlPr xmlns="http://schemas.microsoft.com/office/spreadsheetml/2009/9/main" objectType="CheckBox" fmlaLink="$H$30" lockText="1"/>
</file>

<file path=xl/ctrlProps/ctrlProp144.xml><?xml version="1.0" encoding="utf-8"?>
<formControlPr xmlns="http://schemas.microsoft.com/office/spreadsheetml/2009/9/main" objectType="CheckBox" fmlaLink="$H$31" lockText="1"/>
</file>

<file path=xl/ctrlProps/ctrlProp145.xml><?xml version="1.0" encoding="utf-8"?>
<formControlPr xmlns="http://schemas.microsoft.com/office/spreadsheetml/2009/9/main" objectType="CheckBox" fmlaLink="$H$32" lockText="1"/>
</file>

<file path=xl/ctrlProps/ctrlProp146.xml><?xml version="1.0" encoding="utf-8"?>
<formControlPr xmlns="http://schemas.microsoft.com/office/spreadsheetml/2009/9/main" objectType="CheckBox" fmlaLink="$H$33" lockText="1"/>
</file>

<file path=xl/ctrlProps/ctrlProp147.xml><?xml version="1.0" encoding="utf-8"?>
<formControlPr xmlns="http://schemas.microsoft.com/office/spreadsheetml/2009/9/main" objectType="CheckBox" fmlaLink="$H$34" lockText="1"/>
</file>

<file path=xl/ctrlProps/ctrlProp148.xml><?xml version="1.0" encoding="utf-8"?>
<formControlPr xmlns="http://schemas.microsoft.com/office/spreadsheetml/2009/9/main" objectType="CheckBox" fmlaLink="$Q$5" lockText="1"/>
</file>

<file path=xl/ctrlProps/ctrlProp149.xml><?xml version="1.0" encoding="utf-8"?>
<formControlPr xmlns="http://schemas.microsoft.com/office/spreadsheetml/2009/9/main" objectType="CheckBox" fmlaLink="$Q$6" lockText="1"/>
</file>

<file path=xl/ctrlProps/ctrlProp150.xml><?xml version="1.0" encoding="utf-8"?>
<formControlPr xmlns="http://schemas.microsoft.com/office/spreadsheetml/2009/9/main" objectType="CheckBox" fmlaLink="$Q$7" lockText="1"/>
</file>

<file path=xl/ctrlProps/ctrlProp151.xml><?xml version="1.0" encoding="utf-8"?>
<formControlPr xmlns="http://schemas.microsoft.com/office/spreadsheetml/2009/9/main" objectType="CheckBox" fmlaLink="$Q$8" lockText="1"/>
</file>

<file path=xl/ctrlProps/ctrlProp152.xml><?xml version="1.0" encoding="utf-8"?>
<formControlPr xmlns="http://schemas.microsoft.com/office/spreadsheetml/2009/9/main" objectType="CheckBox" fmlaLink="$Q$9" lockText="1"/>
</file>

<file path=xl/ctrlProps/ctrlProp153.xml><?xml version="1.0" encoding="utf-8"?>
<formControlPr xmlns="http://schemas.microsoft.com/office/spreadsheetml/2009/9/main" objectType="CheckBox" fmlaLink="$Q$10" lockText="1"/>
</file>

<file path=xl/ctrlProps/ctrlProp154.xml><?xml version="1.0" encoding="utf-8"?>
<formControlPr xmlns="http://schemas.microsoft.com/office/spreadsheetml/2009/9/main" objectType="CheckBox" fmlaLink="$Q$11" lockText="1"/>
</file>

<file path=xl/ctrlProps/ctrlProp155.xml><?xml version="1.0" encoding="utf-8"?>
<formControlPr xmlns="http://schemas.microsoft.com/office/spreadsheetml/2009/9/main" objectType="CheckBox" fmlaLink="$Q$12" lockText="1"/>
</file>

<file path=xl/ctrlProps/ctrlProp156.xml><?xml version="1.0" encoding="utf-8"?>
<formControlPr xmlns="http://schemas.microsoft.com/office/spreadsheetml/2009/9/main" objectType="CheckBox" fmlaLink="$Q$13" lockText="1"/>
</file>

<file path=xl/ctrlProps/ctrlProp157.xml><?xml version="1.0" encoding="utf-8"?>
<formControlPr xmlns="http://schemas.microsoft.com/office/spreadsheetml/2009/9/main" objectType="CheckBox" fmlaLink="$Q$14" lockText="1"/>
</file>

<file path=xl/ctrlProps/ctrlProp158.xml><?xml version="1.0" encoding="utf-8"?>
<formControlPr xmlns="http://schemas.microsoft.com/office/spreadsheetml/2009/9/main" objectType="CheckBox" fmlaLink="$Q$15" lockText="1"/>
</file>

<file path=xl/ctrlProps/ctrlProp159.xml><?xml version="1.0" encoding="utf-8"?>
<formControlPr xmlns="http://schemas.microsoft.com/office/spreadsheetml/2009/9/main" objectType="CheckBox" fmlaLink="$Q$16" lockText="1"/>
</file>

<file path=xl/ctrlProps/ctrlProp160.xml><?xml version="1.0" encoding="utf-8"?>
<formControlPr xmlns="http://schemas.microsoft.com/office/spreadsheetml/2009/9/main" objectType="CheckBox" fmlaLink="$Q$17" lockText="1"/>
</file>

<file path=xl/ctrlProps/ctrlProp161.xml><?xml version="1.0" encoding="utf-8"?>
<formControlPr xmlns="http://schemas.microsoft.com/office/spreadsheetml/2009/9/main" objectType="CheckBox" fmlaLink="$Q$18" lockText="1"/>
</file>

<file path=xl/ctrlProps/ctrlProp162.xml><?xml version="1.0" encoding="utf-8"?>
<formControlPr xmlns="http://schemas.microsoft.com/office/spreadsheetml/2009/9/main" objectType="CheckBox" fmlaLink="$Q$19" lockText="1"/>
</file>

<file path=xl/ctrlProps/ctrlProp163.xml><?xml version="1.0" encoding="utf-8"?>
<formControlPr xmlns="http://schemas.microsoft.com/office/spreadsheetml/2009/9/main" objectType="CheckBox" fmlaLink="$Q$20" lockText="1"/>
</file>

<file path=xl/ctrlProps/ctrlProp164.xml><?xml version="1.0" encoding="utf-8"?>
<formControlPr xmlns="http://schemas.microsoft.com/office/spreadsheetml/2009/9/main" objectType="CheckBox" fmlaLink="$Q$21" lockText="1"/>
</file>

<file path=xl/ctrlProps/ctrlProp165.xml><?xml version="1.0" encoding="utf-8"?>
<formControlPr xmlns="http://schemas.microsoft.com/office/spreadsheetml/2009/9/main" objectType="CheckBox" fmlaLink="$Q$22" lockText="1"/>
</file>

<file path=xl/ctrlProps/ctrlProp166.xml><?xml version="1.0" encoding="utf-8"?>
<formControlPr xmlns="http://schemas.microsoft.com/office/spreadsheetml/2009/9/main" objectType="CheckBox" fmlaLink="$Q$23" lockText="1"/>
</file>

<file path=xl/ctrlProps/ctrlProp167.xml><?xml version="1.0" encoding="utf-8"?>
<formControlPr xmlns="http://schemas.microsoft.com/office/spreadsheetml/2009/9/main" objectType="CheckBox" fmlaLink="$Q$24" lockText="1"/>
</file>

<file path=xl/ctrlProps/ctrlProp168.xml><?xml version="1.0" encoding="utf-8"?>
<formControlPr xmlns="http://schemas.microsoft.com/office/spreadsheetml/2009/9/main" objectType="CheckBox" fmlaLink="$Q$25" lockText="1"/>
</file>

<file path=xl/ctrlProps/ctrlProp169.xml><?xml version="1.0" encoding="utf-8"?>
<formControlPr xmlns="http://schemas.microsoft.com/office/spreadsheetml/2009/9/main" objectType="CheckBox" fmlaLink="$Q$26" lockText="1"/>
</file>

<file path=xl/ctrlProps/ctrlProp170.xml><?xml version="1.0" encoding="utf-8"?>
<formControlPr xmlns="http://schemas.microsoft.com/office/spreadsheetml/2009/9/main" objectType="CheckBox" fmlaLink="$Q$27" lockText="1"/>
</file>

<file path=xl/ctrlProps/ctrlProp171.xml><?xml version="1.0" encoding="utf-8"?>
<formControlPr xmlns="http://schemas.microsoft.com/office/spreadsheetml/2009/9/main" objectType="CheckBox" fmlaLink="$Q$28" lockText="1"/>
</file>

<file path=xl/ctrlProps/ctrlProp172.xml><?xml version="1.0" encoding="utf-8"?>
<formControlPr xmlns="http://schemas.microsoft.com/office/spreadsheetml/2009/9/main" objectType="CheckBox" fmlaLink="$Q$29" lockText="1"/>
</file>

<file path=xl/ctrlProps/ctrlProp173.xml><?xml version="1.0" encoding="utf-8"?>
<formControlPr xmlns="http://schemas.microsoft.com/office/spreadsheetml/2009/9/main" objectType="CheckBox" fmlaLink="$Q$30" lockText="1"/>
</file>

<file path=xl/ctrlProps/ctrlProp174.xml><?xml version="1.0" encoding="utf-8"?>
<formControlPr xmlns="http://schemas.microsoft.com/office/spreadsheetml/2009/9/main" objectType="CheckBox" fmlaLink="$Q$31" lockText="1"/>
</file>

<file path=xl/ctrlProps/ctrlProp175.xml><?xml version="1.0" encoding="utf-8"?>
<formControlPr xmlns="http://schemas.microsoft.com/office/spreadsheetml/2009/9/main" objectType="CheckBox" fmlaLink="$Q$32" lockText="1"/>
</file>

<file path=xl/ctrlProps/ctrlProp176.xml><?xml version="1.0" encoding="utf-8"?>
<formControlPr xmlns="http://schemas.microsoft.com/office/spreadsheetml/2009/9/main" objectType="CheckBox" fmlaLink="$Q$33" lockText="1"/>
</file>

<file path=xl/ctrlProps/ctrlProp177.xml><?xml version="1.0" encoding="utf-8"?>
<formControlPr xmlns="http://schemas.microsoft.com/office/spreadsheetml/2009/9/main" objectType="Drop" dropLines="5" dropStyle="combo" dx="48" fmlaLink="$G$5" fmlaRange="$G$6:$G$10" noThreeD="1" sel="1" val="0"/>
</file>

<file path=xl/ctrlProps/ctrlProp178.xml><?xml version="1.0" encoding="utf-8"?>
<formControlPr xmlns="http://schemas.microsoft.com/office/spreadsheetml/2009/9/main" objectType="Drop" dropLines="5" dropStyle="combo" dx="48" fmlaLink="$H$5" fmlaRange="$H$6:$H$10" noThreeD="1" sel="1" val="0"/>
</file>

<file path=xl/ctrlProps/ctrlProp179.xml><?xml version="1.0" encoding="utf-8"?>
<formControlPr xmlns="http://schemas.microsoft.com/office/spreadsheetml/2009/9/main" objectType="Drop" dropLines="5" dropStyle="combo" dx="48" fmlaLink="$I$5" fmlaRange="$I$6:$I$10" noThreeD="1" sel="1" val="0"/>
</file>

<file path=xl/ctrlProps/ctrlProp180.xml><?xml version="1.0" encoding="utf-8"?>
<formControlPr xmlns="http://schemas.microsoft.com/office/spreadsheetml/2009/9/main" objectType="Drop" dropLines="5" dropStyle="combo" dx="48" fmlaLink="$J$5" fmlaRange="$J$6:$J$10" noThreeD="1" sel="1" val="0"/>
</file>

<file path=xl/ctrlProps/ctrlProp181.xml><?xml version="1.0" encoding="utf-8"?>
<formControlPr xmlns="http://schemas.microsoft.com/office/spreadsheetml/2009/9/main" objectType="Drop" dropLines="5" dropStyle="combo" dx="48" fmlaLink="$K$5" fmlaRange="$K$6:$K$10" noThreeD="1" sel="1" val="0"/>
</file>

<file path=xl/ctrlProps/ctrlProp182.xml><?xml version="1.0" encoding="utf-8"?>
<formControlPr xmlns="http://schemas.microsoft.com/office/spreadsheetml/2009/9/main" objectType="Drop" dropLines="5" dropStyle="combo" dx="48" fmlaLink="$L$5" fmlaRange="$L$6:$L$10" noThreeD="1" sel="1" val="0"/>
</file>

<file path=xl/ctrlProps/ctrlProp183.xml><?xml version="1.0" encoding="utf-8"?>
<formControlPr xmlns="http://schemas.microsoft.com/office/spreadsheetml/2009/9/main" objectType="Drop" dropLines="5" dropStyle="combo" dx="48" fmlaLink="$M$5" fmlaRange="$M$6:$M$10" noThreeD="1" sel="1" val="0"/>
</file>

<file path=xl/ctrlProps/ctrlProp184.xml><?xml version="1.0" encoding="utf-8"?>
<formControlPr xmlns="http://schemas.microsoft.com/office/spreadsheetml/2009/9/main" objectType="Drop" dropLines="5" dropStyle="combo" dx="48" fmlaLink="$N$5" fmlaRange="$N$6:$N$10" noThreeD="1" sel="1" val="0"/>
</file>

<file path=xl/ctrlProps/ctrlProp185.xml><?xml version="1.0" encoding="utf-8"?>
<formControlPr xmlns="http://schemas.microsoft.com/office/spreadsheetml/2009/9/main" objectType="Drop" dropLines="5" dropStyle="combo" dx="48" fmlaLink="$O$5" fmlaRange="$O$6:$O$10" noThreeD="1" sel="1" val="0"/>
</file>

<file path=xl/ctrlProps/ctrlProp186.xml><?xml version="1.0" encoding="utf-8"?>
<formControlPr xmlns="http://schemas.microsoft.com/office/spreadsheetml/2009/9/main" objectType="Drop" dropLines="5" dropStyle="combo" dx="48" fmlaLink="$P$5" fmlaRange="$P$6:$P$10" noThreeD="1" sel="1" val="0"/>
</file>

<file path=xl/ctrlProps/ctrlProp187.xml><?xml version="1.0" encoding="utf-8"?>
<formControlPr xmlns="http://schemas.microsoft.com/office/spreadsheetml/2009/9/main" objectType="Drop" dropLines="5" dropStyle="combo" dx="48" fmlaLink="$Q$5" fmlaRange="$Q$6:$Q$10" noThreeD="1" sel="1" val="0"/>
</file>

<file path=xl/ctrlProps/ctrlProp188.xml><?xml version="1.0" encoding="utf-8"?>
<formControlPr xmlns="http://schemas.microsoft.com/office/spreadsheetml/2009/9/main" objectType="Drop" dropLines="5" dropStyle="combo" dx="48" fmlaLink="$R$5" fmlaRange="$R$6:$R$10" noThreeD="1" sel="1" val="0"/>
</file>

<file path=xl/ctrlProps/ctrlProp189.xml><?xml version="1.0" encoding="utf-8"?>
<formControlPr xmlns="http://schemas.microsoft.com/office/spreadsheetml/2009/9/main" objectType="Drop" dropLines="5" dropStyle="combo" dx="48" fmlaLink="$S$5" fmlaRange="$S$6:$S$10" noThreeD="1" sel="1" val="0"/>
</file>

<file path=xl/ctrlProps/ctrlProp190.xml><?xml version="1.0" encoding="utf-8"?>
<formControlPr xmlns="http://schemas.microsoft.com/office/spreadsheetml/2009/9/main" objectType="Drop" dropLines="5" dropStyle="combo" dx="48" fmlaLink="$T$5" fmlaRange="$T$6:$T$10" noThreeD="1" sel="1" val="0"/>
</file>

<file path=xl/ctrlProps/ctrlProp191.xml><?xml version="1.0" encoding="utf-8"?>
<formControlPr xmlns="http://schemas.microsoft.com/office/spreadsheetml/2009/9/main" objectType="Drop" dropLines="5" dropStyle="combo" dx="48" fmlaLink="$U$5" fmlaRange="$U$6:$U$10" noThreeD="1" sel="1" val="0"/>
</file>

<file path=xl/ctrlProps/ctrlProp192.xml><?xml version="1.0" encoding="utf-8"?>
<formControlPr xmlns="http://schemas.microsoft.com/office/spreadsheetml/2009/9/main" objectType="Drop" dropLines="5" dropStyle="combo" dx="48" fmlaLink="$G$5" fmlaRange="$G$6:$G$10" noThreeD="1" sel="1" val="0"/>
</file>

<file path=xl/ctrlProps/ctrlProp193.xml><?xml version="1.0" encoding="utf-8"?>
<formControlPr xmlns="http://schemas.microsoft.com/office/spreadsheetml/2009/9/main" objectType="Drop" dropLines="5" dropStyle="combo" dx="48" fmlaLink="$H$5" fmlaRange="$H$6:$H$10" noThreeD="1" sel="1" val="0"/>
</file>

<file path=xl/ctrlProps/ctrlProp194.xml><?xml version="1.0" encoding="utf-8"?>
<formControlPr xmlns="http://schemas.microsoft.com/office/spreadsheetml/2009/9/main" objectType="Drop" dropLines="5" dropStyle="combo" dx="48" fmlaLink="$I$5" fmlaRange="$I$6:$I$10" noThreeD="1" sel="1" val="0"/>
</file>

<file path=xl/ctrlProps/ctrlProp195.xml><?xml version="1.0" encoding="utf-8"?>
<formControlPr xmlns="http://schemas.microsoft.com/office/spreadsheetml/2009/9/main" objectType="Drop" dropLines="5" dropStyle="combo" dx="48" fmlaLink="$J$5" fmlaRange="$J$6:$J$10" noThreeD="1" sel="1" val="0"/>
</file>

<file path=xl/ctrlProps/ctrlProp196.xml><?xml version="1.0" encoding="utf-8"?>
<formControlPr xmlns="http://schemas.microsoft.com/office/spreadsheetml/2009/9/main" objectType="Drop" dropLines="5" dropStyle="combo" dx="48" fmlaLink="$K$5" fmlaRange="$K$6:$K$10" noThreeD="1" sel="1" val="0"/>
</file>

<file path=xl/ctrlProps/ctrlProp197.xml><?xml version="1.0" encoding="utf-8"?>
<formControlPr xmlns="http://schemas.microsoft.com/office/spreadsheetml/2009/9/main" objectType="Drop" dropLines="5" dropStyle="combo" dx="48" fmlaLink="$L$5" fmlaRange="$L$6:$L$10" noThreeD="1" sel="1" val="0"/>
</file>

<file path=xl/ctrlProps/ctrlProp198.xml><?xml version="1.0" encoding="utf-8"?>
<formControlPr xmlns="http://schemas.microsoft.com/office/spreadsheetml/2009/9/main" objectType="Drop" dropLines="5" dropStyle="combo" dx="48" fmlaLink="$M$5" fmlaRange="$M$6:$M$10" noThreeD="1" sel="1" val="0"/>
</file>

<file path=xl/ctrlProps/ctrlProp199.xml><?xml version="1.0" encoding="utf-8"?>
<formControlPr xmlns="http://schemas.microsoft.com/office/spreadsheetml/2009/9/main" objectType="Drop" dropLines="5" dropStyle="combo" dx="48" fmlaLink="$N$5" fmlaRange="$N$6:$N$10" noThreeD="1" sel="1" val="0"/>
</file>

<file path=xl/ctrlProps/ctrlProp200.xml><?xml version="1.0" encoding="utf-8"?>
<formControlPr xmlns="http://schemas.microsoft.com/office/spreadsheetml/2009/9/main" objectType="Drop" dropLines="5" dropStyle="combo" dx="48" fmlaLink="$O$5" fmlaRange="$O$6:$O$10" noThreeD="1" sel="1" val="0"/>
</file>

<file path=xl/ctrlProps/ctrlProp201.xml><?xml version="1.0" encoding="utf-8"?>
<formControlPr xmlns="http://schemas.microsoft.com/office/spreadsheetml/2009/9/main" objectType="Drop" dropLines="5" dropStyle="combo" dx="48" fmlaLink="$P$5" fmlaRange="$P$6:$P$10" noThreeD="1" sel="1" val="0"/>
</file>

<file path=xl/ctrlProps/ctrlProp202.xml><?xml version="1.0" encoding="utf-8"?>
<formControlPr xmlns="http://schemas.microsoft.com/office/spreadsheetml/2009/9/main" objectType="Drop" dropLines="5" dropStyle="combo" dx="48" fmlaLink="$Q$5" fmlaRange="$Q$6:$Q$10" noThreeD="1" sel="1" val="0"/>
</file>

<file path=xl/ctrlProps/ctrlProp203.xml><?xml version="1.0" encoding="utf-8"?>
<formControlPr xmlns="http://schemas.microsoft.com/office/spreadsheetml/2009/9/main" objectType="Drop" dropLines="5" dropStyle="combo" dx="48" fmlaLink="$R$5" fmlaRange="$R$6:$R$10" noThreeD="1" sel="1" val="0"/>
</file>

<file path=xl/ctrlProps/ctrlProp204.xml><?xml version="1.0" encoding="utf-8"?>
<formControlPr xmlns="http://schemas.microsoft.com/office/spreadsheetml/2009/9/main" objectType="Drop" dropLines="5" dropStyle="combo" dx="48" fmlaLink="$S$5" fmlaRange="$S$6:$S$10" noThreeD="1" sel="1" val="0"/>
</file>

<file path=xl/ctrlProps/ctrlProp205.xml><?xml version="1.0" encoding="utf-8"?>
<formControlPr xmlns="http://schemas.microsoft.com/office/spreadsheetml/2009/9/main" objectType="Drop" dropLines="5" dropStyle="combo" dx="48" fmlaLink="$T$5" fmlaRange="$T$6:$T$10" noThreeD="1" sel="1" val="0"/>
</file>

<file path=xl/ctrlProps/ctrlProp206.xml><?xml version="1.0" encoding="utf-8"?>
<formControlPr xmlns="http://schemas.microsoft.com/office/spreadsheetml/2009/9/main" objectType="Drop" dropLines="5" dropStyle="combo" dx="48" fmlaLink="$U$5" fmlaRange="$U$6:$U$10" noThreeD="1" sel="1" val="0"/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4</xdr:row>
          <xdr:rowOff>15240</xdr:rowOff>
        </xdr:from>
        <xdr:to>
          <xdr:col>3</xdr:col>
          <xdr:colOff>872490</xdr:colOff>
          <xdr:row>5</xdr:row>
          <xdr:rowOff>41910</xdr:rowOff>
        </xdr:to>
        <xdr:sp macro="" textlink="">
          <xdr:nvSpPr>
            <xdr:cNvPr id="18433" name="Drop Down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5CF29209-C48A-D883-6294-B723AAC8A7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7</xdr:row>
          <xdr:rowOff>15240</xdr:rowOff>
        </xdr:from>
        <xdr:to>
          <xdr:col>3</xdr:col>
          <xdr:colOff>872490</xdr:colOff>
          <xdr:row>8</xdr:row>
          <xdr:rowOff>41910</xdr:rowOff>
        </xdr:to>
        <xdr:sp macro="" textlink="">
          <xdr:nvSpPr>
            <xdr:cNvPr id="18434" name="Drop Down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181968CF-E416-B0A3-FC55-3A0ACF786C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10</xdr:row>
          <xdr:rowOff>15240</xdr:rowOff>
        </xdr:from>
        <xdr:to>
          <xdr:col>3</xdr:col>
          <xdr:colOff>872490</xdr:colOff>
          <xdr:row>11</xdr:row>
          <xdr:rowOff>41910</xdr:rowOff>
        </xdr:to>
        <xdr:sp macro="" textlink="">
          <xdr:nvSpPr>
            <xdr:cNvPr id="18435" name="Drop Down 3" hidden="1">
              <a:extLst>
                <a:ext uri="{63B3BB69-23CF-44E3-9099-C40C66FF867C}">
                  <a14:compatExt spid="_x0000_s18435"/>
                </a:ext>
                <a:ext uri="{FF2B5EF4-FFF2-40B4-BE49-F238E27FC236}">
                  <a16:creationId xmlns:a16="http://schemas.microsoft.com/office/drawing/2014/main" id="{8FFC6F2C-1858-5742-427D-1FD5FA3131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13</xdr:row>
          <xdr:rowOff>15240</xdr:rowOff>
        </xdr:from>
        <xdr:to>
          <xdr:col>3</xdr:col>
          <xdr:colOff>872490</xdr:colOff>
          <xdr:row>14</xdr:row>
          <xdr:rowOff>41910</xdr:rowOff>
        </xdr:to>
        <xdr:sp macro="" textlink="">
          <xdr:nvSpPr>
            <xdr:cNvPr id="18436" name="Drop Down 4" hidden="1">
              <a:extLst>
                <a:ext uri="{63B3BB69-23CF-44E3-9099-C40C66FF867C}">
                  <a14:compatExt spid="_x0000_s18436"/>
                </a:ext>
                <a:ext uri="{FF2B5EF4-FFF2-40B4-BE49-F238E27FC236}">
                  <a16:creationId xmlns:a16="http://schemas.microsoft.com/office/drawing/2014/main" id="{E3E61F00-A0BE-1CEB-BDDC-C916EB67C7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16</xdr:row>
          <xdr:rowOff>15240</xdr:rowOff>
        </xdr:from>
        <xdr:to>
          <xdr:col>3</xdr:col>
          <xdr:colOff>872490</xdr:colOff>
          <xdr:row>17</xdr:row>
          <xdr:rowOff>41910</xdr:rowOff>
        </xdr:to>
        <xdr:sp macro="" textlink="">
          <xdr:nvSpPr>
            <xdr:cNvPr id="18437" name="Drop Down 5" hidden="1">
              <a:extLst>
                <a:ext uri="{63B3BB69-23CF-44E3-9099-C40C66FF867C}">
                  <a14:compatExt spid="_x0000_s18437"/>
                </a:ext>
                <a:ext uri="{FF2B5EF4-FFF2-40B4-BE49-F238E27FC236}">
                  <a16:creationId xmlns:a16="http://schemas.microsoft.com/office/drawing/2014/main" id="{38291D4F-D9E4-11CB-D744-EC7AD86186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19</xdr:row>
          <xdr:rowOff>15240</xdr:rowOff>
        </xdr:from>
        <xdr:to>
          <xdr:col>3</xdr:col>
          <xdr:colOff>872490</xdr:colOff>
          <xdr:row>20</xdr:row>
          <xdr:rowOff>41910</xdr:rowOff>
        </xdr:to>
        <xdr:sp macro="" textlink="">
          <xdr:nvSpPr>
            <xdr:cNvPr id="18438" name="Drop Down 6" hidden="1">
              <a:extLst>
                <a:ext uri="{63B3BB69-23CF-44E3-9099-C40C66FF867C}">
                  <a14:compatExt spid="_x0000_s18438"/>
                </a:ext>
                <a:ext uri="{FF2B5EF4-FFF2-40B4-BE49-F238E27FC236}">
                  <a16:creationId xmlns:a16="http://schemas.microsoft.com/office/drawing/2014/main" id="{DC43E293-64BB-3412-7EA6-45A655C7AD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24</xdr:row>
          <xdr:rowOff>15240</xdr:rowOff>
        </xdr:from>
        <xdr:to>
          <xdr:col>3</xdr:col>
          <xdr:colOff>872490</xdr:colOff>
          <xdr:row>25</xdr:row>
          <xdr:rowOff>41910</xdr:rowOff>
        </xdr:to>
        <xdr:sp macro="" textlink="">
          <xdr:nvSpPr>
            <xdr:cNvPr id="18439" name="Drop Down 7" hidden="1">
              <a:extLst>
                <a:ext uri="{63B3BB69-23CF-44E3-9099-C40C66FF867C}">
                  <a14:compatExt spid="_x0000_s18439"/>
                </a:ext>
                <a:ext uri="{FF2B5EF4-FFF2-40B4-BE49-F238E27FC236}">
                  <a16:creationId xmlns:a16="http://schemas.microsoft.com/office/drawing/2014/main" id="{0F01BBA2-CE41-BBAE-4E27-2AC69BB5BF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</xdr:colOff>
          <xdr:row>27</xdr:row>
          <xdr:rowOff>15240</xdr:rowOff>
        </xdr:from>
        <xdr:to>
          <xdr:col>3</xdr:col>
          <xdr:colOff>937260</xdr:colOff>
          <xdr:row>27</xdr:row>
          <xdr:rowOff>106680</xdr:rowOff>
        </xdr:to>
        <xdr:sp macro="" textlink="">
          <xdr:nvSpPr>
            <xdr:cNvPr id="18440" name="Drop Down 8" hidden="1">
              <a:extLst>
                <a:ext uri="{63B3BB69-23CF-44E3-9099-C40C66FF867C}">
                  <a14:compatExt spid="_x0000_s18440"/>
                </a:ext>
                <a:ext uri="{FF2B5EF4-FFF2-40B4-BE49-F238E27FC236}">
                  <a16:creationId xmlns:a16="http://schemas.microsoft.com/office/drawing/2014/main" id="{7836713B-CADA-4067-D08B-6960660B2A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30</xdr:row>
          <xdr:rowOff>15240</xdr:rowOff>
        </xdr:from>
        <xdr:to>
          <xdr:col>3</xdr:col>
          <xdr:colOff>922020</xdr:colOff>
          <xdr:row>30</xdr:row>
          <xdr:rowOff>106680</xdr:rowOff>
        </xdr:to>
        <xdr:sp macro="" textlink="">
          <xdr:nvSpPr>
            <xdr:cNvPr id="18441" name="Drop Down 9" hidden="1">
              <a:extLst>
                <a:ext uri="{63B3BB69-23CF-44E3-9099-C40C66FF867C}">
                  <a14:compatExt spid="_x0000_s18441"/>
                </a:ext>
                <a:ext uri="{FF2B5EF4-FFF2-40B4-BE49-F238E27FC236}">
                  <a16:creationId xmlns:a16="http://schemas.microsoft.com/office/drawing/2014/main" id="{A1F8466F-5677-7E78-E2EB-31D9C2C893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34</xdr:row>
          <xdr:rowOff>15240</xdr:rowOff>
        </xdr:from>
        <xdr:to>
          <xdr:col>3</xdr:col>
          <xdr:colOff>872490</xdr:colOff>
          <xdr:row>35</xdr:row>
          <xdr:rowOff>41910</xdr:rowOff>
        </xdr:to>
        <xdr:sp macro="" textlink="">
          <xdr:nvSpPr>
            <xdr:cNvPr id="18442" name="Drop Down 10" hidden="1">
              <a:extLst>
                <a:ext uri="{63B3BB69-23CF-44E3-9099-C40C66FF867C}">
                  <a14:compatExt spid="_x0000_s18442"/>
                </a:ext>
                <a:ext uri="{FF2B5EF4-FFF2-40B4-BE49-F238E27FC236}">
                  <a16:creationId xmlns:a16="http://schemas.microsoft.com/office/drawing/2014/main" id="{D089157D-B080-706A-A58F-1586ECE8F6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37</xdr:row>
          <xdr:rowOff>15240</xdr:rowOff>
        </xdr:from>
        <xdr:to>
          <xdr:col>3</xdr:col>
          <xdr:colOff>872490</xdr:colOff>
          <xdr:row>38</xdr:row>
          <xdr:rowOff>41910</xdr:rowOff>
        </xdr:to>
        <xdr:sp macro="" textlink="">
          <xdr:nvSpPr>
            <xdr:cNvPr id="18443" name="Drop Down 11" hidden="1">
              <a:extLst>
                <a:ext uri="{63B3BB69-23CF-44E3-9099-C40C66FF867C}">
                  <a14:compatExt spid="_x0000_s18443"/>
                </a:ext>
                <a:ext uri="{FF2B5EF4-FFF2-40B4-BE49-F238E27FC236}">
                  <a16:creationId xmlns:a16="http://schemas.microsoft.com/office/drawing/2014/main" id="{9A6CCFBD-88B7-B4CE-87C8-45FDBAC8E9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41</xdr:row>
          <xdr:rowOff>15240</xdr:rowOff>
        </xdr:from>
        <xdr:to>
          <xdr:col>3</xdr:col>
          <xdr:colOff>872490</xdr:colOff>
          <xdr:row>41</xdr:row>
          <xdr:rowOff>106680</xdr:rowOff>
        </xdr:to>
        <xdr:sp macro="" textlink="">
          <xdr:nvSpPr>
            <xdr:cNvPr id="18444" name="Drop Down 12" hidden="1">
              <a:extLst>
                <a:ext uri="{63B3BB69-23CF-44E3-9099-C40C66FF867C}">
                  <a14:compatExt spid="_x0000_s18444"/>
                </a:ext>
                <a:ext uri="{FF2B5EF4-FFF2-40B4-BE49-F238E27FC236}">
                  <a16:creationId xmlns:a16="http://schemas.microsoft.com/office/drawing/2014/main" id="{1AC9E77B-434C-14A7-FDD4-D6A50794FB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44</xdr:row>
          <xdr:rowOff>15240</xdr:rowOff>
        </xdr:from>
        <xdr:to>
          <xdr:col>3</xdr:col>
          <xdr:colOff>872490</xdr:colOff>
          <xdr:row>45</xdr:row>
          <xdr:rowOff>41910</xdr:rowOff>
        </xdr:to>
        <xdr:sp macro="" textlink="">
          <xdr:nvSpPr>
            <xdr:cNvPr id="18445" name="Drop Down 13" hidden="1">
              <a:extLst>
                <a:ext uri="{63B3BB69-23CF-44E3-9099-C40C66FF867C}">
                  <a14:compatExt spid="_x0000_s18445"/>
                </a:ext>
                <a:ext uri="{FF2B5EF4-FFF2-40B4-BE49-F238E27FC236}">
                  <a16:creationId xmlns:a16="http://schemas.microsoft.com/office/drawing/2014/main" id="{4160C66C-2044-DBB1-1F39-A47F0E414B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47</xdr:row>
          <xdr:rowOff>15240</xdr:rowOff>
        </xdr:from>
        <xdr:to>
          <xdr:col>3</xdr:col>
          <xdr:colOff>872490</xdr:colOff>
          <xdr:row>48</xdr:row>
          <xdr:rowOff>41910</xdr:rowOff>
        </xdr:to>
        <xdr:sp macro="" textlink="">
          <xdr:nvSpPr>
            <xdr:cNvPr id="18446" name="Drop Down 14" hidden="1">
              <a:extLst>
                <a:ext uri="{63B3BB69-23CF-44E3-9099-C40C66FF867C}">
                  <a14:compatExt spid="_x0000_s18446"/>
                </a:ext>
                <a:ext uri="{FF2B5EF4-FFF2-40B4-BE49-F238E27FC236}">
                  <a16:creationId xmlns:a16="http://schemas.microsoft.com/office/drawing/2014/main" id="{AA85A403-BBA2-0CA0-4927-79E6734A07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50</xdr:row>
          <xdr:rowOff>15240</xdr:rowOff>
        </xdr:from>
        <xdr:to>
          <xdr:col>3</xdr:col>
          <xdr:colOff>872490</xdr:colOff>
          <xdr:row>51</xdr:row>
          <xdr:rowOff>41910</xdr:rowOff>
        </xdr:to>
        <xdr:sp macro="" textlink="">
          <xdr:nvSpPr>
            <xdr:cNvPr id="18447" name="Drop Down 15" hidden="1">
              <a:extLst>
                <a:ext uri="{63B3BB69-23CF-44E3-9099-C40C66FF867C}">
                  <a14:compatExt spid="_x0000_s18447"/>
                </a:ext>
                <a:ext uri="{FF2B5EF4-FFF2-40B4-BE49-F238E27FC236}">
                  <a16:creationId xmlns:a16="http://schemas.microsoft.com/office/drawing/2014/main" id="{F471878C-B6E8-4A7C-F80B-4938B0BA00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53</xdr:row>
          <xdr:rowOff>15240</xdr:rowOff>
        </xdr:from>
        <xdr:to>
          <xdr:col>3</xdr:col>
          <xdr:colOff>872490</xdr:colOff>
          <xdr:row>54</xdr:row>
          <xdr:rowOff>41910</xdr:rowOff>
        </xdr:to>
        <xdr:sp macro="" textlink="">
          <xdr:nvSpPr>
            <xdr:cNvPr id="18448" name="Drop Down 16" hidden="1">
              <a:extLst>
                <a:ext uri="{63B3BB69-23CF-44E3-9099-C40C66FF867C}">
                  <a14:compatExt spid="_x0000_s18448"/>
                </a:ext>
                <a:ext uri="{FF2B5EF4-FFF2-40B4-BE49-F238E27FC236}">
                  <a16:creationId xmlns:a16="http://schemas.microsoft.com/office/drawing/2014/main" id="{BC2602CE-036F-9ACF-5DC2-14E226D9B1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</xdr:colOff>
          <xdr:row>57</xdr:row>
          <xdr:rowOff>15240</xdr:rowOff>
        </xdr:from>
        <xdr:to>
          <xdr:col>3</xdr:col>
          <xdr:colOff>948690</xdr:colOff>
          <xdr:row>57</xdr:row>
          <xdr:rowOff>106680</xdr:rowOff>
        </xdr:to>
        <xdr:sp macro="" textlink="">
          <xdr:nvSpPr>
            <xdr:cNvPr id="18449" name="Drop Down 17" hidden="1">
              <a:extLst>
                <a:ext uri="{63B3BB69-23CF-44E3-9099-C40C66FF867C}">
                  <a14:compatExt spid="_x0000_s18449"/>
                </a:ext>
                <a:ext uri="{FF2B5EF4-FFF2-40B4-BE49-F238E27FC236}">
                  <a16:creationId xmlns:a16="http://schemas.microsoft.com/office/drawing/2014/main" id="{C4285716-93FF-6A04-E9EC-E00A451FD3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60</xdr:row>
          <xdr:rowOff>15240</xdr:rowOff>
        </xdr:from>
        <xdr:to>
          <xdr:col>3</xdr:col>
          <xdr:colOff>872490</xdr:colOff>
          <xdr:row>61</xdr:row>
          <xdr:rowOff>41910</xdr:rowOff>
        </xdr:to>
        <xdr:sp macro="" textlink="">
          <xdr:nvSpPr>
            <xdr:cNvPr id="18450" name="Drop Down 18" hidden="1">
              <a:extLst>
                <a:ext uri="{63B3BB69-23CF-44E3-9099-C40C66FF867C}">
                  <a14:compatExt spid="_x0000_s18450"/>
                </a:ext>
                <a:ext uri="{FF2B5EF4-FFF2-40B4-BE49-F238E27FC236}">
                  <a16:creationId xmlns:a16="http://schemas.microsoft.com/office/drawing/2014/main" id="{2A9A454D-D3CC-F9B4-7B80-FFBA5114A0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63</xdr:row>
          <xdr:rowOff>15240</xdr:rowOff>
        </xdr:from>
        <xdr:to>
          <xdr:col>3</xdr:col>
          <xdr:colOff>872490</xdr:colOff>
          <xdr:row>64</xdr:row>
          <xdr:rowOff>41910</xdr:rowOff>
        </xdr:to>
        <xdr:sp macro="" textlink="">
          <xdr:nvSpPr>
            <xdr:cNvPr id="18451" name="Drop Down 19" hidden="1">
              <a:extLst>
                <a:ext uri="{63B3BB69-23CF-44E3-9099-C40C66FF867C}">
                  <a14:compatExt spid="_x0000_s18451"/>
                </a:ext>
                <a:ext uri="{FF2B5EF4-FFF2-40B4-BE49-F238E27FC236}">
                  <a16:creationId xmlns:a16="http://schemas.microsoft.com/office/drawing/2014/main" id="{B3606F08-902F-ABA7-9EE4-3BD9CA59A0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67</xdr:row>
          <xdr:rowOff>15240</xdr:rowOff>
        </xdr:from>
        <xdr:to>
          <xdr:col>3</xdr:col>
          <xdr:colOff>872490</xdr:colOff>
          <xdr:row>67</xdr:row>
          <xdr:rowOff>106680</xdr:rowOff>
        </xdr:to>
        <xdr:sp macro="" textlink="">
          <xdr:nvSpPr>
            <xdr:cNvPr id="18452" name="Drop Down 20" hidden="1">
              <a:extLst>
                <a:ext uri="{63B3BB69-23CF-44E3-9099-C40C66FF867C}">
                  <a14:compatExt spid="_x0000_s18452"/>
                </a:ext>
                <a:ext uri="{FF2B5EF4-FFF2-40B4-BE49-F238E27FC236}">
                  <a16:creationId xmlns:a16="http://schemas.microsoft.com/office/drawing/2014/main" id="{91C8C46A-7189-08ED-3956-A3EBD14DC9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70</xdr:row>
          <xdr:rowOff>15240</xdr:rowOff>
        </xdr:from>
        <xdr:to>
          <xdr:col>3</xdr:col>
          <xdr:colOff>872490</xdr:colOff>
          <xdr:row>71</xdr:row>
          <xdr:rowOff>41910</xdr:rowOff>
        </xdr:to>
        <xdr:sp macro="" textlink="">
          <xdr:nvSpPr>
            <xdr:cNvPr id="18453" name="Drop Down 21" hidden="1">
              <a:extLst>
                <a:ext uri="{63B3BB69-23CF-44E3-9099-C40C66FF867C}">
                  <a14:compatExt spid="_x0000_s18453"/>
                </a:ext>
                <a:ext uri="{FF2B5EF4-FFF2-40B4-BE49-F238E27FC236}">
                  <a16:creationId xmlns:a16="http://schemas.microsoft.com/office/drawing/2014/main" id="{3FFF7C8C-489E-C641-2A4D-9518904262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74</xdr:row>
          <xdr:rowOff>15240</xdr:rowOff>
        </xdr:from>
        <xdr:to>
          <xdr:col>3</xdr:col>
          <xdr:colOff>872490</xdr:colOff>
          <xdr:row>75</xdr:row>
          <xdr:rowOff>41910</xdr:rowOff>
        </xdr:to>
        <xdr:sp macro="" textlink="">
          <xdr:nvSpPr>
            <xdr:cNvPr id="18454" name="Drop Down 22" hidden="1">
              <a:extLst>
                <a:ext uri="{63B3BB69-23CF-44E3-9099-C40C66FF867C}">
                  <a14:compatExt spid="_x0000_s18454"/>
                </a:ext>
                <a:ext uri="{FF2B5EF4-FFF2-40B4-BE49-F238E27FC236}">
                  <a16:creationId xmlns:a16="http://schemas.microsoft.com/office/drawing/2014/main" id="{0F205E21-5A25-1DC8-1403-6AFF94531D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77</xdr:row>
          <xdr:rowOff>15240</xdr:rowOff>
        </xdr:from>
        <xdr:to>
          <xdr:col>3</xdr:col>
          <xdr:colOff>872490</xdr:colOff>
          <xdr:row>78</xdr:row>
          <xdr:rowOff>41910</xdr:rowOff>
        </xdr:to>
        <xdr:sp macro="" textlink="">
          <xdr:nvSpPr>
            <xdr:cNvPr id="18455" name="Drop Down 23" hidden="1">
              <a:extLst>
                <a:ext uri="{63B3BB69-23CF-44E3-9099-C40C66FF867C}">
                  <a14:compatExt spid="_x0000_s18455"/>
                </a:ext>
                <a:ext uri="{FF2B5EF4-FFF2-40B4-BE49-F238E27FC236}">
                  <a16:creationId xmlns:a16="http://schemas.microsoft.com/office/drawing/2014/main" id="{A09E8365-1599-E955-9C23-CF3783A3BD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80</xdr:row>
          <xdr:rowOff>15240</xdr:rowOff>
        </xdr:from>
        <xdr:to>
          <xdr:col>3</xdr:col>
          <xdr:colOff>872490</xdr:colOff>
          <xdr:row>81</xdr:row>
          <xdr:rowOff>41910</xdr:rowOff>
        </xdr:to>
        <xdr:sp macro="" textlink="">
          <xdr:nvSpPr>
            <xdr:cNvPr id="18456" name="Drop Down 24" hidden="1">
              <a:extLst>
                <a:ext uri="{63B3BB69-23CF-44E3-9099-C40C66FF867C}">
                  <a14:compatExt spid="_x0000_s18456"/>
                </a:ext>
                <a:ext uri="{FF2B5EF4-FFF2-40B4-BE49-F238E27FC236}">
                  <a16:creationId xmlns:a16="http://schemas.microsoft.com/office/drawing/2014/main" id="{4802A18C-B24A-C411-9FF1-4ADCB208D8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83</xdr:row>
          <xdr:rowOff>15240</xdr:rowOff>
        </xdr:from>
        <xdr:to>
          <xdr:col>3</xdr:col>
          <xdr:colOff>872490</xdr:colOff>
          <xdr:row>84</xdr:row>
          <xdr:rowOff>41910</xdr:rowOff>
        </xdr:to>
        <xdr:sp macro="" textlink="">
          <xdr:nvSpPr>
            <xdr:cNvPr id="18457" name="Drop Down 25" hidden="1">
              <a:extLst>
                <a:ext uri="{63B3BB69-23CF-44E3-9099-C40C66FF867C}">
                  <a14:compatExt spid="_x0000_s18457"/>
                </a:ext>
                <a:ext uri="{FF2B5EF4-FFF2-40B4-BE49-F238E27FC236}">
                  <a16:creationId xmlns:a16="http://schemas.microsoft.com/office/drawing/2014/main" id="{49FCF4AE-99D4-ABFE-4418-9F18F09EB2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86</xdr:row>
          <xdr:rowOff>15240</xdr:rowOff>
        </xdr:from>
        <xdr:to>
          <xdr:col>3</xdr:col>
          <xdr:colOff>872490</xdr:colOff>
          <xdr:row>87</xdr:row>
          <xdr:rowOff>41910</xdr:rowOff>
        </xdr:to>
        <xdr:sp macro="" textlink="">
          <xdr:nvSpPr>
            <xdr:cNvPr id="18458" name="Drop Down 26" hidden="1">
              <a:extLst>
                <a:ext uri="{63B3BB69-23CF-44E3-9099-C40C66FF867C}">
                  <a14:compatExt spid="_x0000_s18458"/>
                </a:ext>
                <a:ext uri="{FF2B5EF4-FFF2-40B4-BE49-F238E27FC236}">
                  <a16:creationId xmlns:a16="http://schemas.microsoft.com/office/drawing/2014/main" id="{8CE900B3-B632-49F0-3A0A-9E35A5A051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4</xdr:row>
          <xdr:rowOff>15240</xdr:rowOff>
        </xdr:from>
        <xdr:to>
          <xdr:col>3</xdr:col>
          <xdr:colOff>872490</xdr:colOff>
          <xdr:row>5</xdr:row>
          <xdr:rowOff>41910</xdr:rowOff>
        </xdr:to>
        <xdr:sp macro="" textlink="">
          <xdr:nvSpPr>
            <xdr:cNvPr id="20481" name="Drop Down 1" hidden="1">
              <a:extLst>
                <a:ext uri="{63B3BB69-23CF-44E3-9099-C40C66FF867C}">
                  <a14:compatExt spid="_x0000_s20481"/>
                </a:ext>
                <a:ext uri="{FF2B5EF4-FFF2-40B4-BE49-F238E27FC236}">
                  <a16:creationId xmlns:a16="http://schemas.microsoft.com/office/drawing/2014/main" id="{4050DAE8-A7BE-2DEC-05BA-2FC4011E05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7</xdr:row>
          <xdr:rowOff>15240</xdr:rowOff>
        </xdr:from>
        <xdr:to>
          <xdr:col>3</xdr:col>
          <xdr:colOff>872490</xdr:colOff>
          <xdr:row>8</xdr:row>
          <xdr:rowOff>41910</xdr:rowOff>
        </xdr:to>
        <xdr:sp macro="" textlink="">
          <xdr:nvSpPr>
            <xdr:cNvPr id="20482" name="Drop Down 2" hidden="1">
              <a:extLst>
                <a:ext uri="{63B3BB69-23CF-44E3-9099-C40C66FF867C}">
                  <a14:compatExt spid="_x0000_s20482"/>
                </a:ext>
                <a:ext uri="{FF2B5EF4-FFF2-40B4-BE49-F238E27FC236}">
                  <a16:creationId xmlns:a16="http://schemas.microsoft.com/office/drawing/2014/main" id="{5ACF08E1-2922-9794-A91C-4C334FBF1C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10</xdr:row>
          <xdr:rowOff>15240</xdr:rowOff>
        </xdr:from>
        <xdr:to>
          <xdr:col>3</xdr:col>
          <xdr:colOff>872490</xdr:colOff>
          <xdr:row>11</xdr:row>
          <xdr:rowOff>41910</xdr:rowOff>
        </xdr:to>
        <xdr:sp macro="" textlink="">
          <xdr:nvSpPr>
            <xdr:cNvPr id="20483" name="Drop Down 3" hidden="1">
              <a:extLst>
                <a:ext uri="{63B3BB69-23CF-44E3-9099-C40C66FF867C}">
                  <a14:compatExt spid="_x0000_s20483"/>
                </a:ext>
                <a:ext uri="{FF2B5EF4-FFF2-40B4-BE49-F238E27FC236}">
                  <a16:creationId xmlns:a16="http://schemas.microsoft.com/office/drawing/2014/main" id="{6C572E0C-C55A-8DDE-2AF1-FFCB378580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13</xdr:row>
          <xdr:rowOff>15240</xdr:rowOff>
        </xdr:from>
        <xdr:to>
          <xdr:col>3</xdr:col>
          <xdr:colOff>872490</xdr:colOff>
          <xdr:row>14</xdr:row>
          <xdr:rowOff>41910</xdr:rowOff>
        </xdr:to>
        <xdr:sp macro="" textlink="">
          <xdr:nvSpPr>
            <xdr:cNvPr id="20484" name="Drop Down 4" hidden="1">
              <a:extLst>
                <a:ext uri="{63B3BB69-23CF-44E3-9099-C40C66FF867C}">
                  <a14:compatExt spid="_x0000_s20484"/>
                </a:ext>
                <a:ext uri="{FF2B5EF4-FFF2-40B4-BE49-F238E27FC236}">
                  <a16:creationId xmlns:a16="http://schemas.microsoft.com/office/drawing/2014/main" id="{41917DBD-5B01-1457-6E3F-DB3DBBC98B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16</xdr:row>
          <xdr:rowOff>15240</xdr:rowOff>
        </xdr:from>
        <xdr:to>
          <xdr:col>3</xdr:col>
          <xdr:colOff>872490</xdr:colOff>
          <xdr:row>17</xdr:row>
          <xdr:rowOff>41910</xdr:rowOff>
        </xdr:to>
        <xdr:sp macro="" textlink="">
          <xdr:nvSpPr>
            <xdr:cNvPr id="20485" name="Drop Down 5" hidden="1">
              <a:extLst>
                <a:ext uri="{63B3BB69-23CF-44E3-9099-C40C66FF867C}">
                  <a14:compatExt spid="_x0000_s20485"/>
                </a:ext>
                <a:ext uri="{FF2B5EF4-FFF2-40B4-BE49-F238E27FC236}">
                  <a16:creationId xmlns:a16="http://schemas.microsoft.com/office/drawing/2014/main" id="{61592ECB-7C9E-3AAF-81A2-C8EC50C0E0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19</xdr:row>
          <xdr:rowOff>15240</xdr:rowOff>
        </xdr:from>
        <xdr:to>
          <xdr:col>3</xdr:col>
          <xdr:colOff>872490</xdr:colOff>
          <xdr:row>20</xdr:row>
          <xdr:rowOff>41910</xdr:rowOff>
        </xdr:to>
        <xdr:sp macro="" textlink="">
          <xdr:nvSpPr>
            <xdr:cNvPr id="20486" name="Drop Down 6" hidden="1">
              <a:extLst>
                <a:ext uri="{63B3BB69-23CF-44E3-9099-C40C66FF867C}">
                  <a14:compatExt spid="_x0000_s20486"/>
                </a:ext>
                <a:ext uri="{FF2B5EF4-FFF2-40B4-BE49-F238E27FC236}">
                  <a16:creationId xmlns:a16="http://schemas.microsoft.com/office/drawing/2014/main" id="{237E8207-525C-111B-CA34-3F84E3ACD2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24</xdr:row>
          <xdr:rowOff>15240</xdr:rowOff>
        </xdr:from>
        <xdr:to>
          <xdr:col>3</xdr:col>
          <xdr:colOff>872490</xdr:colOff>
          <xdr:row>25</xdr:row>
          <xdr:rowOff>41910</xdr:rowOff>
        </xdr:to>
        <xdr:sp macro="" textlink="">
          <xdr:nvSpPr>
            <xdr:cNvPr id="20487" name="Drop Down 7" hidden="1">
              <a:extLst>
                <a:ext uri="{63B3BB69-23CF-44E3-9099-C40C66FF867C}">
                  <a14:compatExt spid="_x0000_s20487"/>
                </a:ext>
                <a:ext uri="{FF2B5EF4-FFF2-40B4-BE49-F238E27FC236}">
                  <a16:creationId xmlns:a16="http://schemas.microsoft.com/office/drawing/2014/main" id="{23B81268-FE79-0F66-F117-7BE0D852BC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</xdr:colOff>
          <xdr:row>27</xdr:row>
          <xdr:rowOff>15240</xdr:rowOff>
        </xdr:from>
        <xdr:to>
          <xdr:col>3</xdr:col>
          <xdr:colOff>937260</xdr:colOff>
          <xdr:row>27</xdr:row>
          <xdr:rowOff>106680</xdr:rowOff>
        </xdr:to>
        <xdr:sp macro="" textlink="">
          <xdr:nvSpPr>
            <xdr:cNvPr id="20488" name="Drop Down 8" hidden="1">
              <a:extLst>
                <a:ext uri="{63B3BB69-23CF-44E3-9099-C40C66FF867C}">
                  <a14:compatExt spid="_x0000_s20488"/>
                </a:ext>
                <a:ext uri="{FF2B5EF4-FFF2-40B4-BE49-F238E27FC236}">
                  <a16:creationId xmlns:a16="http://schemas.microsoft.com/office/drawing/2014/main" id="{27B0FB6B-F7C2-3578-92D9-B328404954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30</xdr:row>
          <xdr:rowOff>15240</xdr:rowOff>
        </xdr:from>
        <xdr:to>
          <xdr:col>3</xdr:col>
          <xdr:colOff>922020</xdr:colOff>
          <xdr:row>30</xdr:row>
          <xdr:rowOff>106680</xdr:rowOff>
        </xdr:to>
        <xdr:sp macro="" textlink="">
          <xdr:nvSpPr>
            <xdr:cNvPr id="20489" name="Drop Down 9" hidden="1">
              <a:extLst>
                <a:ext uri="{63B3BB69-23CF-44E3-9099-C40C66FF867C}">
                  <a14:compatExt spid="_x0000_s20489"/>
                </a:ext>
                <a:ext uri="{FF2B5EF4-FFF2-40B4-BE49-F238E27FC236}">
                  <a16:creationId xmlns:a16="http://schemas.microsoft.com/office/drawing/2014/main" id="{3A4634A9-E380-DC92-685E-51D039B191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34</xdr:row>
          <xdr:rowOff>15240</xdr:rowOff>
        </xdr:from>
        <xdr:to>
          <xdr:col>3</xdr:col>
          <xdr:colOff>872490</xdr:colOff>
          <xdr:row>35</xdr:row>
          <xdr:rowOff>41910</xdr:rowOff>
        </xdr:to>
        <xdr:sp macro="" textlink="">
          <xdr:nvSpPr>
            <xdr:cNvPr id="20490" name="Drop Down 10" hidden="1">
              <a:extLst>
                <a:ext uri="{63B3BB69-23CF-44E3-9099-C40C66FF867C}">
                  <a14:compatExt spid="_x0000_s20490"/>
                </a:ext>
                <a:ext uri="{FF2B5EF4-FFF2-40B4-BE49-F238E27FC236}">
                  <a16:creationId xmlns:a16="http://schemas.microsoft.com/office/drawing/2014/main" id="{390608BC-4ECF-5C22-E912-22B81B6E07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37</xdr:row>
          <xdr:rowOff>15240</xdr:rowOff>
        </xdr:from>
        <xdr:to>
          <xdr:col>3</xdr:col>
          <xdr:colOff>872490</xdr:colOff>
          <xdr:row>38</xdr:row>
          <xdr:rowOff>41910</xdr:rowOff>
        </xdr:to>
        <xdr:sp macro="" textlink="">
          <xdr:nvSpPr>
            <xdr:cNvPr id="20491" name="Drop Down 11" hidden="1">
              <a:extLst>
                <a:ext uri="{63B3BB69-23CF-44E3-9099-C40C66FF867C}">
                  <a14:compatExt spid="_x0000_s20491"/>
                </a:ext>
                <a:ext uri="{FF2B5EF4-FFF2-40B4-BE49-F238E27FC236}">
                  <a16:creationId xmlns:a16="http://schemas.microsoft.com/office/drawing/2014/main" id="{116A50C0-477E-AAE7-7707-32E5FE1C78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41</xdr:row>
          <xdr:rowOff>15240</xdr:rowOff>
        </xdr:from>
        <xdr:to>
          <xdr:col>3</xdr:col>
          <xdr:colOff>872490</xdr:colOff>
          <xdr:row>41</xdr:row>
          <xdr:rowOff>106680</xdr:rowOff>
        </xdr:to>
        <xdr:sp macro="" textlink="">
          <xdr:nvSpPr>
            <xdr:cNvPr id="20492" name="Drop Down 12" hidden="1">
              <a:extLst>
                <a:ext uri="{63B3BB69-23CF-44E3-9099-C40C66FF867C}">
                  <a14:compatExt spid="_x0000_s20492"/>
                </a:ext>
                <a:ext uri="{FF2B5EF4-FFF2-40B4-BE49-F238E27FC236}">
                  <a16:creationId xmlns:a16="http://schemas.microsoft.com/office/drawing/2014/main" id="{5058C7E0-9026-8B47-56AB-D7985A691C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44</xdr:row>
          <xdr:rowOff>15240</xdr:rowOff>
        </xdr:from>
        <xdr:to>
          <xdr:col>3</xdr:col>
          <xdr:colOff>872490</xdr:colOff>
          <xdr:row>45</xdr:row>
          <xdr:rowOff>41910</xdr:rowOff>
        </xdr:to>
        <xdr:sp macro="" textlink="">
          <xdr:nvSpPr>
            <xdr:cNvPr id="20493" name="Drop Down 13" hidden="1">
              <a:extLst>
                <a:ext uri="{63B3BB69-23CF-44E3-9099-C40C66FF867C}">
                  <a14:compatExt spid="_x0000_s20493"/>
                </a:ext>
                <a:ext uri="{FF2B5EF4-FFF2-40B4-BE49-F238E27FC236}">
                  <a16:creationId xmlns:a16="http://schemas.microsoft.com/office/drawing/2014/main" id="{FC1DF88A-4398-FF59-78F0-5C8019D308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47</xdr:row>
          <xdr:rowOff>15240</xdr:rowOff>
        </xdr:from>
        <xdr:to>
          <xdr:col>3</xdr:col>
          <xdr:colOff>872490</xdr:colOff>
          <xdr:row>48</xdr:row>
          <xdr:rowOff>41910</xdr:rowOff>
        </xdr:to>
        <xdr:sp macro="" textlink="">
          <xdr:nvSpPr>
            <xdr:cNvPr id="20494" name="Drop Down 14" hidden="1">
              <a:extLst>
                <a:ext uri="{63B3BB69-23CF-44E3-9099-C40C66FF867C}">
                  <a14:compatExt spid="_x0000_s20494"/>
                </a:ext>
                <a:ext uri="{FF2B5EF4-FFF2-40B4-BE49-F238E27FC236}">
                  <a16:creationId xmlns:a16="http://schemas.microsoft.com/office/drawing/2014/main" id="{42944E0F-642A-A0A1-5C38-D6349DAC5E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50</xdr:row>
          <xdr:rowOff>15240</xdr:rowOff>
        </xdr:from>
        <xdr:to>
          <xdr:col>3</xdr:col>
          <xdr:colOff>872490</xdr:colOff>
          <xdr:row>51</xdr:row>
          <xdr:rowOff>41910</xdr:rowOff>
        </xdr:to>
        <xdr:sp macro="" textlink="">
          <xdr:nvSpPr>
            <xdr:cNvPr id="20495" name="Drop Down 15" hidden="1">
              <a:extLst>
                <a:ext uri="{63B3BB69-23CF-44E3-9099-C40C66FF867C}">
                  <a14:compatExt spid="_x0000_s20495"/>
                </a:ext>
                <a:ext uri="{FF2B5EF4-FFF2-40B4-BE49-F238E27FC236}">
                  <a16:creationId xmlns:a16="http://schemas.microsoft.com/office/drawing/2014/main" id="{01ED20FE-6E0D-D263-C66F-F837C7C803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53</xdr:row>
          <xdr:rowOff>15240</xdr:rowOff>
        </xdr:from>
        <xdr:to>
          <xdr:col>3</xdr:col>
          <xdr:colOff>872490</xdr:colOff>
          <xdr:row>54</xdr:row>
          <xdr:rowOff>41910</xdr:rowOff>
        </xdr:to>
        <xdr:sp macro="" textlink="">
          <xdr:nvSpPr>
            <xdr:cNvPr id="20496" name="Drop Down 16" hidden="1">
              <a:extLst>
                <a:ext uri="{63B3BB69-23CF-44E3-9099-C40C66FF867C}">
                  <a14:compatExt spid="_x0000_s20496"/>
                </a:ext>
                <a:ext uri="{FF2B5EF4-FFF2-40B4-BE49-F238E27FC236}">
                  <a16:creationId xmlns:a16="http://schemas.microsoft.com/office/drawing/2014/main" id="{889197D3-B947-2E9E-9D5D-767D70B166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</xdr:colOff>
          <xdr:row>57</xdr:row>
          <xdr:rowOff>15240</xdr:rowOff>
        </xdr:from>
        <xdr:to>
          <xdr:col>3</xdr:col>
          <xdr:colOff>948690</xdr:colOff>
          <xdr:row>57</xdr:row>
          <xdr:rowOff>106680</xdr:rowOff>
        </xdr:to>
        <xdr:sp macro="" textlink="">
          <xdr:nvSpPr>
            <xdr:cNvPr id="20497" name="Drop Down 17" hidden="1">
              <a:extLst>
                <a:ext uri="{63B3BB69-23CF-44E3-9099-C40C66FF867C}">
                  <a14:compatExt spid="_x0000_s20497"/>
                </a:ext>
                <a:ext uri="{FF2B5EF4-FFF2-40B4-BE49-F238E27FC236}">
                  <a16:creationId xmlns:a16="http://schemas.microsoft.com/office/drawing/2014/main" id="{A022EE78-659F-A108-7DBD-C04B97BC8C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60</xdr:row>
          <xdr:rowOff>15240</xdr:rowOff>
        </xdr:from>
        <xdr:to>
          <xdr:col>3</xdr:col>
          <xdr:colOff>872490</xdr:colOff>
          <xdr:row>61</xdr:row>
          <xdr:rowOff>41910</xdr:rowOff>
        </xdr:to>
        <xdr:sp macro="" textlink="">
          <xdr:nvSpPr>
            <xdr:cNvPr id="20498" name="Drop Down 18" hidden="1">
              <a:extLst>
                <a:ext uri="{63B3BB69-23CF-44E3-9099-C40C66FF867C}">
                  <a14:compatExt spid="_x0000_s20498"/>
                </a:ext>
                <a:ext uri="{FF2B5EF4-FFF2-40B4-BE49-F238E27FC236}">
                  <a16:creationId xmlns:a16="http://schemas.microsoft.com/office/drawing/2014/main" id="{177C879B-8E27-00BF-6B6F-D4D730A65F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63</xdr:row>
          <xdr:rowOff>15240</xdr:rowOff>
        </xdr:from>
        <xdr:to>
          <xdr:col>3</xdr:col>
          <xdr:colOff>872490</xdr:colOff>
          <xdr:row>64</xdr:row>
          <xdr:rowOff>41910</xdr:rowOff>
        </xdr:to>
        <xdr:sp macro="" textlink="">
          <xdr:nvSpPr>
            <xdr:cNvPr id="20499" name="Drop Down 19" hidden="1">
              <a:extLst>
                <a:ext uri="{63B3BB69-23CF-44E3-9099-C40C66FF867C}">
                  <a14:compatExt spid="_x0000_s20499"/>
                </a:ext>
                <a:ext uri="{FF2B5EF4-FFF2-40B4-BE49-F238E27FC236}">
                  <a16:creationId xmlns:a16="http://schemas.microsoft.com/office/drawing/2014/main" id="{D656C5DA-A343-3E9B-15BE-E469ACA1A8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67</xdr:row>
          <xdr:rowOff>15240</xdr:rowOff>
        </xdr:from>
        <xdr:to>
          <xdr:col>3</xdr:col>
          <xdr:colOff>872490</xdr:colOff>
          <xdr:row>67</xdr:row>
          <xdr:rowOff>106680</xdr:rowOff>
        </xdr:to>
        <xdr:sp macro="" textlink="">
          <xdr:nvSpPr>
            <xdr:cNvPr id="20500" name="Drop Down 20" hidden="1">
              <a:extLst>
                <a:ext uri="{63B3BB69-23CF-44E3-9099-C40C66FF867C}">
                  <a14:compatExt spid="_x0000_s20500"/>
                </a:ext>
                <a:ext uri="{FF2B5EF4-FFF2-40B4-BE49-F238E27FC236}">
                  <a16:creationId xmlns:a16="http://schemas.microsoft.com/office/drawing/2014/main" id="{755521A1-E873-BC6E-4513-F40E363AE5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70</xdr:row>
          <xdr:rowOff>15240</xdr:rowOff>
        </xdr:from>
        <xdr:to>
          <xdr:col>3</xdr:col>
          <xdr:colOff>872490</xdr:colOff>
          <xdr:row>71</xdr:row>
          <xdr:rowOff>41910</xdr:rowOff>
        </xdr:to>
        <xdr:sp macro="" textlink="">
          <xdr:nvSpPr>
            <xdr:cNvPr id="20501" name="Drop Down 21" hidden="1">
              <a:extLst>
                <a:ext uri="{63B3BB69-23CF-44E3-9099-C40C66FF867C}">
                  <a14:compatExt spid="_x0000_s20501"/>
                </a:ext>
                <a:ext uri="{FF2B5EF4-FFF2-40B4-BE49-F238E27FC236}">
                  <a16:creationId xmlns:a16="http://schemas.microsoft.com/office/drawing/2014/main" id="{6CB8883D-6135-85FC-6D5D-7029AC3E33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74</xdr:row>
          <xdr:rowOff>15240</xdr:rowOff>
        </xdr:from>
        <xdr:to>
          <xdr:col>3</xdr:col>
          <xdr:colOff>872490</xdr:colOff>
          <xdr:row>75</xdr:row>
          <xdr:rowOff>41910</xdr:rowOff>
        </xdr:to>
        <xdr:sp macro="" textlink="">
          <xdr:nvSpPr>
            <xdr:cNvPr id="20502" name="Drop Down 22" hidden="1">
              <a:extLst>
                <a:ext uri="{63B3BB69-23CF-44E3-9099-C40C66FF867C}">
                  <a14:compatExt spid="_x0000_s20502"/>
                </a:ext>
                <a:ext uri="{FF2B5EF4-FFF2-40B4-BE49-F238E27FC236}">
                  <a16:creationId xmlns:a16="http://schemas.microsoft.com/office/drawing/2014/main" id="{38AE6A04-3519-08FD-D691-103D903308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77</xdr:row>
          <xdr:rowOff>15240</xdr:rowOff>
        </xdr:from>
        <xdr:to>
          <xdr:col>3</xdr:col>
          <xdr:colOff>872490</xdr:colOff>
          <xdr:row>78</xdr:row>
          <xdr:rowOff>41910</xdr:rowOff>
        </xdr:to>
        <xdr:sp macro="" textlink="">
          <xdr:nvSpPr>
            <xdr:cNvPr id="20503" name="Drop Down 23" hidden="1">
              <a:extLst>
                <a:ext uri="{63B3BB69-23CF-44E3-9099-C40C66FF867C}">
                  <a14:compatExt spid="_x0000_s20503"/>
                </a:ext>
                <a:ext uri="{FF2B5EF4-FFF2-40B4-BE49-F238E27FC236}">
                  <a16:creationId xmlns:a16="http://schemas.microsoft.com/office/drawing/2014/main" id="{135A42C5-61BC-8F68-2B30-642714BB31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80</xdr:row>
          <xdr:rowOff>15240</xdr:rowOff>
        </xdr:from>
        <xdr:to>
          <xdr:col>3</xdr:col>
          <xdr:colOff>872490</xdr:colOff>
          <xdr:row>81</xdr:row>
          <xdr:rowOff>41910</xdr:rowOff>
        </xdr:to>
        <xdr:sp macro="" textlink="">
          <xdr:nvSpPr>
            <xdr:cNvPr id="20504" name="Drop Down 24" hidden="1">
              <a:extLst>
                <a:ext uri="{63B3BB69-23CF-44E3-9099-C40C66FF867C}">
                  <a14:compatExt spid="_x0000_s20504"/>
                </a:ext>
                <a:ext uri="{FF2B5EF4-FFF2-40B4-BE49-F238E27FC236}">
                  <a16:creationId xmlns:a16="http://schemas.microsoft.com/office/drawing/2014/main" id="{C09B6765-2823-784B-A5D4-0A72A98EDE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83</xdr:row>
          <xdr:rowOff>15240</xdr:rowOff>
        </xdr:from>
        <xdr:to>
          <xdr:col>3</xdr:col>
          <xdr:colOff>872490</xdr:colOff>
          <xdr:row>84</xdr:row>
          <xdr:rowOff>41910</xdr:rowOff>
        </xdr:to>
        <xdr:sp macro="" textlink="">
          <xdr:nvSpPr>
            <xdr:cNvPr id="20505" name="Drop Down 25" hidden="1">
              <a:extLst>
                <a:ext uri="{63B3BB69-23CF-44E3-9099-C40C66FF867C}">
                  <a14:compatExt spid="_x0000_s20505"/>
                </a:ext>
                <a:ext uri="{FF2B5EF4-FFF2-40B4-BE49-F238E27FC236}">
                  <a16:creationId xmlns:a16="http://schemas.microsoft.com/office/drawing/2014/main" id="{B87A2E54-9A9E-4473-916E-D2D635DFC9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86</xdr:row>
          <xdr:rowOff>15240</xdr:rowOff>
        </xdr:from>
        <xdr:to>
          <xdr:col>3</xdr:col>
          <xdr:colOff>872490</xdr:colOff>
          <xdr:row>87</xdr:row>
          <xdr:rowOff>41910</xdr:rowOff>
        </xdr:to>
        <xdr:sp macro="" textlink="">
          <xdr:nvSpPr>
            <xdr:cNvPr id="20506" name="Drop Down 26" hidden="1">
              <a:extLst>
                <a:ext uri="{63B3BB69-23CF-44E3-9099-C40C66FF867C}">
                  <a14:compatExt spid="_x0000_s20506"/>
                </a:ext>
                <a:ext uri="{FF2B5EF4-FFF2-40B4-BE49-F238E27FC236}">
                  <a16:creationId xmlns:a16="http://schemas.microsoft.com/office/drawing/2014/main" id="{27EA020B-0F85-027F-2D27-7B13FC19D5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438150</xdr:colOff>
      <xdr:row>58</xdr:row>
      <xdr:rowOff>133350</xdr:rowOff>
    </xdr:from>
    <xdr:to>
      <xdr:col>5</xdr:col>
      <xdr:colOff>47625</xdr:colOff>
      <xdr:row>75</xdr:row>
      <xdr:rowOff>123825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209551</xdr:colOff>
      <xdr:row>31</xdr:row>
      <xdr:rowOff>0</xdr:rowOff>
    </xdr:from>
    <xdr:to>
      <xdr:col>10</xdr:col>
      <xdr:colOff>533401</xdr:colOff>
      <xdr:row>47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209551</xdr:colOff>
      <xdr:row>31</xdr:row>
      <xdr:rowOff>0</xdr:rowOff>
    </xdr:from>
    <xdr:to>
      <xdr:col>10</xdr:col>
      <xdr:colOff>533401</xdr:colOff>
      <xdr:row>47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1200150</xdr:colOff>
      <xdr:row>30</xdr:row>
      <xdr:rowOff>38100</xdr:rowOff>
    </xdr:from>
    <xdr:to>
      <xdr:col>10</xdr:col>
      <xdr:colOff>695325</xdr:colOff>
      <xdr:row>47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114300</xdr:colOff>
      <xdr:row>48</xdr:row>
      <xdr:rowOff>47624</xdr:rowOff>
    </xdr:from>
    <xdr:to>
      <xdr:col>10</xdr:col>
      <xdr:colOff>590550</xdr:colOff>
      <xdr:row>65</xdr:row>
      <xdr:rowOff>123824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0.49375</cdr:x>
      <cdr:y>0.90972</cdr:y>
    </cdr:from>
    <cdr:to>
      <cdr:x>0.67917</cdr:x>
      <cdr:y>0.98264</cdr:y>
    </cdr:to>
    <cdr:sp macro="" textlink="">
      <cdr:nvSpPr>
        <cdr:cNvPr id="2" name="CaixaDeTexto 1"/>
        <cdr:cNvSpPr txBox="1"/>
      </cdr:nvSpPr>
      <cdr:spPr>
        <a:xfrm xmlns:a="http://schemas.openxmlformats.org/drawingml/2006/main">
          <a:off x="2257425" y="2495550"/>
          <a:ext cx="847725" cy="200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0.49375</cdr:x>
      <cdr:y>0.90972</cdr:y>
    </cdr:from>
    <cdr:to>
      <cdr:x>0.67917</cdr:x>
      <cdr:y>0.98264</cdr:y>
    </cdr:to>
    <cdr:sp macro="" textlink="">
      <cdr:nvSpPr>
        <cdr:cNvPr id="3" name="CaixaDeTexto 1"/>
        <cdr:cNvSpPr txBox="1"/>
      </cdr:nvSpPr>
      <cdr:spPr>
        <a:xfrm xmlns:a="http://schemas.openxmlformats.org/drawingml/2006/main">
          <a:off x="2257425" y="2495550"/>
          <a:ext cx="847725" cy="200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0.64792</cdr:x>
      <cdr:y>0.89583</cdr:y>
    </cdr:from>
    <cdr:to>
      <cdr:x>0.87292</cdr:x>
      <cdr:y>0.98958</cdr:y>
    </cdr:to>
    <cdr:sp macro="" textlink="">
      <cdr:nvSpPr>
        <cdr:cNvPr id="4" name="CaixaDeTexto 3"/>
        <cdr:cNvSpPr txBox="1"/>
      </cdr:nvSpPr>
      <cdr:spPr>
        <a:xfrm xmlns:a="http://schemas.openxmlformats.org/drawingml/2006/main">
          <a:off x="2962275" y="2457450"/>
          <a:ext cx="1028700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000" b="1"/>
            <a:t>50 Categorias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1257300</xdr:colOff>
      <xdr:row>31</xdr:row>
      <xdr:rowOff>9525</xdr:rowOff>
    </xdr:from>
    <xdr:to>
      <xdr:col>0</xdr:col>
      <xdr:colOff>5829300</xdr:colOff>
      <xdr:row>48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3</xdr:row>
          <xdr:rowOff>19050</xdr:rowOff>
        </xdr:from>
        <xdr:to>
          <xdr:col>1</xdr:col>
          <xdr:colOff>152400</xdr:colOff>
          <xdr:row>3</xdr:row>
          <xdr:rowOff>106680</xdr:rowOff>
        </xdr:to>
        <xdr:sp macro="" textlink="">
          <xdr:nvSpPr>
            <xdr:cNvPr id="29697" name="Check Box 1" hidden="1">
              <a:extLst>
                <a:ext uri="{63B3BB69-23CF-44E3-9099-C40C66FF867C}">
                  <a14:compatExt spid="_x0000_s29697"/>
                </a:ext>
                <a:ext uri="{FF2B5EF4-FFF2-40B4-BE49-F238E27FC236}">
                  <a16:creationId xmlns:a16="http://schemas.microsoft.com/office/drawing/2014/main" id="{2100CB17-5E5B-BD3E-D01F-497728DA20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4</xdr:row>
          <xdr:rowOff>19050</xdr:rowOff>
        </xdr:from>
        <xdr:to>
          <xdr:col>1</xdr:col>
          <xdr:colOff>152400</xdr:colOff>
          <xdr:row>4</xdr:row>
          <xdr:rowOff>106680</xdr:rowOff>
        </xdr:to>
        <xdr:sp macro="" textlink="">
          <xdr:nvSpPr>
            <xdr:cNvPr id="29698" name="Check Box 2" hidden="1">
              <a:extLst>
                <a:ext uri="{63B3BB69-23CF-44E3-9099-C40C66FF867C}">
                  <a14:compatExt spid="_x0000_s29698"/>
                </a:ext>
                <a:ext uri="{FF2B5EF4-FFF2-40B4-BE49-F238E27FC236}">
                  <a16:creationId xmlns:a16="http://schemas.microsoft.com/office/drawing/2014/main" id="{FB537331-1D56-AD99-E4E6-320BADAEB7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5</xdr:row>
          <xdr:rowOff>19050</xdr:rowOff>
        </xdr:from>
        <xdr:to>
          <xdr:col>1</xdr:col>
          <xdr:colOff>152400</xdr:colOff>
          <xdr:row>5</xdr:row>
          <xdr:rowOff>106680</xdr:rowOff>
        </xdr:to>
        <xdr:sp macro="" textlink="">
          <xdr:nvSpPr>
            <xdr:cNvPr id="29699" name="Check Box 3" hidden="1">
              <a:extLst>
                <a:ext uri="{63B3BB69-23CF-44E3-9099-C40C66FF867C}">
                  <a14:compatExt spid="_x0000_s29699"/>
                </a:ext>
                <a:ext uri="{FF2B5EF4-FFF2-40B4-BE49-F238E27FC236}">
                  <a16:creationId xmlns:a16="http://schemas.microsoft.com/office/drawing/2014/main" id="{3BD78E0A-32CD-5B65-1B72-8E83261296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6</xdr:row>
          <xdr:rowOff>19050</xdr:rowOff>
        </xdr:from>
        <xdr:to>
          <xdr:col>1</xdr:col>
          <xdr:colOff>152400</xdr:colOff>
          <xdr:row>6</xdr:row>
          <xdr:rowOff>106680</xdr:rowOff>
        </xdr:to>
        <xdr:sp macro="" textlink="">
          <xdr:nvSpPr>
            <xdr:cNvPr id="29700" name="Check Box 4" hidden="1">
              <a:extLst>
                <a:ext uri="{63B3BB69-23CF-44E3-9099-C40C66FF867C}">
                  <a14:compatExt spid="_x0000_s29700"/>
                </a:ext>
                <a:ext uri="{FF2B5EF4-FFF2-40B4-BE49-F238E27FC236}">
                  <a16:creationId xmlns:a16="http://schemas.microsoft.com/office/drawing/2014/main" id="{0BBCAE71-97CC-7EF9-146F-477C293C65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7</xdr:row>
          <xdr:rowOff>19050</xdr:rowOff>
        </xdr:from>
        <xdr:to>
          <xdr:col>1</xdr:col>
          <xdr:colOff>152400</xdr:colOff>
          <xdr:row>7</xdr:row>
          <xdr:rowOff>106680</xdr:rowOff>
        </xdr:to>
        <xdr:sp macro="" textlink="">
          <xdr:nvSpPr>
            <xdr:cNvPr id="29701" name="Check Box 5" hidden="1">
              <a:extLst>
                <a:ext uri="{63B3BB69-23CF-44E3-9099-C40C66FF867C}">
                  <a14:compatExt spid="_x0000_s29701"/>
                </a:ext>
                <a:ext uri="{FF2B5EF4-FFF2-40B4-BE49-F238E27FC236}">
                  <a16:creationId xmlns:a16="http://schemas.microsoft.com/office/drawing/2014/main" id="{7CC7CFE4-2BF7-82E1-2DB9-AB090A8798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8</xdr:row>
          <xdr:rowOff>19050</xdr:rowOff>
        </xdr:from>
        <xdr:to>
          <xdr:col>1</xdr:col>
          <xdr:colOff>152400</xdr:colOff>
          <xdr:row>8</xdr:row>
          <xdr:rowOff>106680</xdr:rowOff>
        </xdr:to>
        <xdr:sp macro="" textlink="">
          <xdr:nvSpPr>
            <xdr:cNvPr id="29702" name="Check Box 6" hidden="1">
              <a:extLst>
                <a:ext uri="{63B3BB69-23CF-44E3-9099-C40C66FF867C}">
                  <a14:compatExt spid="_x0000_s29702"/>
                </a:ext>
                <a:ext uri="{FF2B5EF4-FFF2-40B4-BE49-F238E27FC236}">
                  <a16:creationId xmlns:a16="http://schemas.microsoft.com/office/drawing/2014/main" id="{C90DEC96-B817-B8A9-2609-4CB02CDB6C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9</xdr:row>
          <xdr:rowOff>26670</xdr:rowOff>
        </xdr:from>
        <xdr:to>
          <xdr:col>1</xdr:col>
          <xdr:colOff>152400</xdr:colOff>
          <xdr:row>9</xdr:row>
          <xdr:rowOff>114300</xdr:rowOff>
        </xdr:to>
        <xdr:sp macro="" textlink="">
          <xdr:nvSpPr>
            <xdr:cNvPr id="29703" name="Check Box 7" hidden="1">
              <a:extLst>
                <a:ext uri="{63B3BB69-23CF-44E3-9099-C40C66FF867C}">
                  <a14:compatExt spid="_x0000_s29703"/>
                </a:ext>
                <a:ext uri="{FF2B5EF4-FFF2-40B4-BE49-F238E27FC236}">
                  <a16:creationId xmlns:a16="http://schemas.microsoft.com/office/drawing/2014/main" id="{43A57A89-202C-1880-03F8-D9DA398E77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10</xdr:row>
          <xdr:rowOff>22860</xdr:rowOff>
        </xdr:from>
        <xdr:to>
          <xdr:col>1</xdr:col>
          <xdr:colOff>152400</xdr:colOff>
          <xdr:row>10</xdr:row>
          <xdr:rowOff>110490</xdr:rowOff>
        </xdr:to>
        <xdr:sp macro="" textlink="">
          <xdr:nvSpPr>
            <xdr:cNvPr id="29704" name="Check Box 8" hidden="1">
              <a:extLst>
                <a:ext uri="{63B3BB69-23CF-44E3-9099-C40C66FF867C}">
                  <a14:compatExt spid="_x0000_s29704"/>
                </a:ext>
                <a:ext uri="{FF2B5EF4-FFF2-40B4-BE49-F238E27FC236}">
                  <a16:creationId xmlns:a16="http://schemas.microsoft.com/office/drawing/2014/main" id="{563ACB15-D283-28F3-0E9E-8F3E00EF33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11</xdr:row>
          <xdr:rowOff>19050</xdr:rowOff>
        </xdr:from>
        <xdr:to>
          <xdr:col>1</xdr:col>
          <xdr:colOff>152400</xdr:colOff>
          <xdr:row>11</xdr:row>
          <xdr:rowOff>106680</xdr:rowOff>
        </xdr:to>
        <xdr:sp macro="" textlink="">
          <xdr:nvSpPr>
            <xdr:cNvPr id="29705" name="Check Box 9" hidden="1">
              <a:extLst>
                <a:ext uri="{63B3BB69-23CF-44E3-9099-C40C66FF867C}">
                  <a14:compatExt spid="_x0000_s29705"/>
                </a:ext>
                <a:ext uri="{FF2B5EF4-FFF2-40B4-BE49-F238E27FC236}">
                  <a16:creationId xmlns:a16="http://schemas.microsoft.com/office/drawing/2014/main" id="{D69A87A2-5CC0-E0E2-6F15-E27A29E772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12</xdr:row>
          <xdr:rowOff>30480</xdr:rowOff>
        </xdr:from>
        <xdr:to>
          <xdr:col>1</xdr:col>
          <xdr:colOff>152400</xdr:colOff>
          <xdr:row>12</xdr:row>
          <xdr:rowOff>118110</xdr:rowOff>
        </xdr:to>
        <xdr:sp macro="" textlink="">
          <xdr:nvSpPr>
            <xdr:cNvPr id="29706" name="Check Box 10" hidden="1">
              <a:extLst>
                <a:ext uri="{63B3BB69-23CF-44E3-9099-C40C66FF867C}">
                  <a14:compatExt spid="_x0000_s29706"/>
                </a:ext>
                <a:ext uri="{FF2B5EF4-FFF2-40B4-BE49-F238E27FC236}">
                  <a16:creationId xmlns:a16="http://schemas.microsoft.com/office/drawing/2014/main" id="{D15F5144-8F2E-DAC6-6EB4-DEE83F3EA7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13</xdr:row>
          <xdr:rowOff>19050</xdr:rowOff>
        </xdr:from>
        <xdr:to>
          <xdr:col>1</xdr:col>
          <xdr:colOff>152400</xdr:colOff>
          <xdr:row>13</xdr:row>
          <xdr:rowOff>106680</xdr:rowOff>
        </xdr:to>
        <xdr:sp macro="" textlink="">
          <xdr:nvSpPr>
            <xdr:cNvPr id="29707" name="Check Box 11" hidden="1">
              <a:extLst>
                <a:ext uri="{63B3BB69-23CF-44E3-9099-C40C66FF867C}">
                  <a14:compatExt spid="_x0000_s29707"/>
                </a:ext>
                <a:ext uri="{FF2B5EF4-FFF2-40B4-BE49-F238E27FC236}">
                  <a16:creationId xmlns:a16="http://schemas.microsoft.com/office/drawing/2014/main" id="{83EE539C-1F1D-B3D2-1388-6FB90BA2E6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14</xdr:row>
          <xdr:rowOff>22860</xdr:rowOff>
        </xdr:from>
        <xdr:to>
          <xdr:col>1</xdr:col>
          <xdr:colOff>152400</xdr:colOff>
          <xdr:row>14</xdr:row>
          <xdr:rowOff>110490</xdr:rowOff>
        </xdr:to>
        <xdr:sp macro="" textlink="">
          <xdr:nvSpPr>
            <xdr:cNvPr id="29708" name="Check Box 12" hidden="1">
              <a:extLst>
                <a:ext uri="{63B3BB69-23CF-44E3-9099-C40C66FF867C}">
                  <a14:compatExt spid="_x0000_s29708"/>
                </a:ext>
                <a:ext uri="{FF2B5EF4-FFF2-40B4-BE49-F238E27FC236}">
                  <a16:creationId xmlns:a16="http://schemas.microsoft.com/office/drawing/2014/main" id="{6A9372AA-8CB5-7DD9-DE4C-E08CA5B3B6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15</xdr:row>
          <xdr:rowOff>26670</xdr:rowOff>
        </xdr:from>
        <xdr:to>
          <xdr:col>1</xdr:col>
          <xdr:colOff>152400</xdr:colOff>
          <xdr:row>15</xdr:row>
          <xdr:rowOff>114300</xdr:rowOff>
        </xdr:to>
        <xdr:sp macro="" textlink="">
          <xdr:nvSpPr>
            <xdr:cNvPr id="29709" name="Check Box 13" hidden="1">
              <a:extLst>
                <a:ext uri="{63B3BB69-23CF-44E3-9099-C40C66FF867C}">
                  <a14:compatExt spid="_x0000_s29709"/>
                </a:ext>
                <a:ext uri="{FF2B5EF4-FFF2-40B4-BE49-F238E27FC236}">
                  <a16:creationId xmlns:a16="http://schemas.microsoft.com/office/drawing/2014/main" id="{039E6D85-2DEC-8847-9E10-68CC45EE90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16</xdr:row>
          <xdr:rowOff>30480</xdr:rowOff>
        </xdr:from>
        <xdr:to>
          <xdr:col>1</xdr:col>
          <xdr:colOff>152400</xdr:colOff>
          <xdr:row>16</xdr:row>
          <xdr:rowOff>118110</xdr:rowOff>
        </xdr:to>
        <xdr:sp macro="" textlink="">
          <xdr:nvSpPr>
            <xdr:cNvPr id="29710" name="Check Box 14" hidden="1">
              <a:extLst>
                <a:ext uri="{63B3BB69-23CF-44E3-9099-C40C66FF867C}">
                  <a14:compatExt spid="_x0000_s29710"/>
                </a:ext>
                <a:ext uri="{FF2B5EF4-FFF2-40B4-BE49-F238E27FC236}">
                  <a16:creationId xmlns:a16="http://schemas.microsoft.com/office/drawing/2014/main" id="{E0AC98A9-CC8A-A97A-7854-27ECD552FE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17</xdr:row>
          <xdr:rowOff>22860</xdr:rowOff>
        </xdr:from>
        <xdr:to>
          <xdr:col>1</xdr:col>
          <xdr:colOff>152400</xdr:colOff>
          <xdr:row>17</xdr:row>
          <xdr:rowOff>110490</xdr:rowOff>
        </xdr:to>
        <xdr:sp macro="" textlink="">
          <xdr:nvSpPr>
            <xdr:cNvPr id="29711" name="Check Box 15" hidden="1">
              <a:extLst>
                <a:ext uri="{63B3BB69-23CF-44E3-9099-C40C66FF867C}">
                  <a14:compatExt spid="_x0000_s29711"/>
                </a:ext>
                <a:ext uri="{FF2B5EF4-FFF2-40B4-BE49-F238E27FC236}">
                  <a16:creationId xmlns:a16="http://schemas.microsoft.com/office/drawing/2014/main" id="{B161ADBA-2092-DEA7-0740-FDE0A2A631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18</xdr:row>
          <xdr:rowOff>19050</xdr:rowOff>
        </xdr:from>
        <xdr:to>
          <xdr:col>1</xdr:col>
          <xdr:colOff>152400</xdr:colOff>
          <xdr:row>18</xdr:row>
          <xdr:rowOff>106680</xdr:rowOff>
        </xdr:to>
        <xdr:sp macro="" textlink="">
          <xdr:nvSpPr>
            <xdr:cNvPr id="29712" name="Check Box 16" hidden="1">
              <a:extLst>
                <a:ext uri="{63B3BB69-23CF-44E3-9099-C40C66FF867C}">
                  <a14:compatExt spid="_x0000_s29712"/>
                </a:ext>
                <a:ext uri="{FF2B5EF4-FFF2-40B4-BE49-F238E27FC236}">
                  <a16:creationId xmlns:a16="http://schemas.microsoft.com/office/drawing/2014/main" id="{01E8CEF6-C722-4FC4-485A-3B94ECF6EF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19</xdr:row>
          <xdr:rowOff>30480</xdr:rowOff>
        </xdr:from>
        <xdr:to>
          <xdr:col>1</xdr:col>
          <xdr:colOff>152400</xdr:colOff>
          <xdr:row>19</xdr:row>
          <xdr:rowOff>118110</xdr:rowOff>
        </xdr:to>
        <xdr:sp macro="" textlink="">
          <xdr:nvSpPr>
            <xdr:cNvPr id="29713" name="Check Box 17" hidden="1">
              <a:extLst>
                <a:ext uri="{63B3BB69-23CF-44E3-9099-C40C66FF867C}">
                  <a14:compatExt spid="_x0000_s29713"/>
                </a:ext>
                <a:ext uri="{FF2B5EF4-FFF2-40B4-BE49-F238E27FC236}">
                  <a16:creationId xmlns:a16="http://schemas.microsoft.com/office/drawing/2014/main" id="{20DF40D1-6867-4BFA-596B-FCB17F1FF6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20</xdr:row>
          <xdr:rowOff>22860</xdr:rowOff>
        </xdr:from>
        <xdr:to>
          <xdr:col>1</xdr:col>
          <xdr:colOff>152400</xdr:colOff>
          <xdr:row>20</xdr:row>
          <xdr:rowOff>110490</xdr:rowOff>
        </xdr:to>
        <xdr:sp macro="" textlink="">
          <xdr:nvSpPr>
            <xdr:cNvPr id="29714" name="Check Box 18" hidden="1">
              <a:extLst>
                <a:ext uri="{63B3BB69-23CF-44E3-9099-C40C66FF867C}">
                  <a14:compatExt spid="_x0000_s29714"/>
                </a:ext>
                <a:ext uri="{FF2B5EF4-FFF2-40B4-BE49-F238E27FC236}">
                  <a16:creationId xmlns:a16="http://schemas.microsoft.com/office/drawing/2014/main" id="{282EA2FF-7DFB-E877-DBA5-3659899E7F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21</xdr:row>
          <xdr:rowOff>22860</xdr:rowOff>
        </xdr:from>
        <xdr:to>
          <xdr:col>1</xdr:col>
          <xdr:colOff>152400</xdr:colOff>
          <xdr:row>21</xdr:row>
          <xdr:rowOff>110490</xdr:rowOff>
        </xdr:to>
        <xdr:sp macro="" textlink="">
          <xdr:nvSpPr>
            <xdr:cNvPr id="29715" name="Check Box 19" hidden="1">
              <a:extLst>
                <a:ext uri="{63B3BB69-23CF-44E3-9099-C40C66FF867C}">
                  <a14:compatExt spid="_x0000_s29715"/>
                </a:ext>
                <a:ext uri="{FF2B5EF4-FFF2-40B4-BE49-F238E27FC236}">
                  <a16:creationId xmlns:a16="http://schemas.microsoft.com/office/drawing/2014/main" id="{F7DDC3F8-C9E8-2A2C-08EC-ABCDBB67FD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22</xdr:row>
          <xdr:rowOff>26670</xdr:rowOff>
        </xdr:from>
        <xdr:to>
          <xdr:col>1</xdr:col>
          <xdr:colOff>152400</xdr:colOff>
          <xdr:row>22</xdr:row>
          <xdr:rowOff>114300</xdr:rowOff>
        </xdr:to>
        <xdr:sp macro="" textlink="">
          <xdr:nvSpPr>
            <xdr:cNvPr id="29716" name="Check Box 20" hidden="1">
              <a:extLst>
                <a:ext uri="{63B3BB69-23CF-44E3-9099-C40C66FF867C}">
                  <a14:compatExt spid="_x0000_s29716"/>
                </a:ext>
                <a:ext uri="{FF2B5EF4-FFF2-40B4-BE49-F238E27FC236}">
                  <a16:creationId xmlns:a16="http://schemas.microsoft.com/office/drawing/2014/main" id="{23B921DD-5D6F-7C1B-DA44-17965B1BA8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23</xdr:row>
          <xdr:rowOff>19050</xdr:rowOff>
        </xdr:from>
        <xdr:to>
          <xdr:col>1</xdr:col>
          <xdr:colOff>152400</xdr:colOff>
          <xdr:row>23</xdr:row>
          <xdr:rowOff>106680</xdr:rowOff>
        </xdr:to>
        <xdr:sp macro="" textlink="">
          <xdr:nvSpPr>
            <xdr:cNvPr id="29717" name="Check Box 21" hidden="1">
              <a:extLst>
                <a:ext uri="{63B3BB69-23CF-44E3-9099-C40C66FF867C}">
                  <a14:compatExt spid="_x0000_s29717"/>
                </a:ext>
                <a:ext uri="{FF2B5EF4-FFF2-40B4-BE49-F238E27FC236}">
                  <a16:creationId xmlns:a16="http://schemas.microsoft.com/office/drawing/2014/main" id="{5013A656-69AA-BCC0-843F-2685152608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24</xdr:row>
          <xdr:rowOff>41910</xdr:rowOff>
        </xdr:from>
        <xdr:to>
          <xdr:col>1</xdr:col>
          <xdr:colOff>152400</xdr:colOff>
          <xdr:row>24</xdr:row>
          <xdr:rowOff>129540</xdr:rowOff>
        </xdr:to>
        <xdr:sp macro="" textlink="">
          <xdr:nvSpPr>
            <xdr:cNvPr id="29718" name="Check Box 22" hidden="1">
              <a:extLst>
                <a:ext uri="{63B3BB69-23CF-44E3-9099-C40C66FF867C}">
                  <a14:compatExt spid="_x0000_s29718"/>
                </a:ext>
                <a:ext uri="{FF2B5EF4-FFF2-40B4-BE49-F238E27FC236}">
                  <a16:creationId xmlns:a16="http://schemas.microsoft.com/office/drawing/2014/main" id="{69EC7829-FA78-9F50-BEBA-56B2A9DCF0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25</xdr:row>
          <xdr:rowOff>45720</xdr:rowOff>
        </xdr:from>
        <xdr:to>
          <xdr:col>1</xdr:col>
          <xdr:colOff>152400</xdr:colOff>
          <xdr:row>25</xdr:row>
          <xdr:rowOff>133350</xdr:rowOff>
        </xdr:to>
        <xdr:sp macro="" textlink="">
          <xdr:nvSpPr>
            <xdr:cNvPr id="29719" name="Check Box 23" hidden="1">
              <a:extLst>
                <a:ext uri="{63B3BB69-23CF-44E3-9099-C40C66FF867C}">
                  <a14:compatExt spid="_x0000_s29719"/>
                </a:ext>
                <a:ext uri="{FF2B5EF4-FFF2-40B4-BE49-F238E27FC236}">
                  <a16:creationId xmlns:a16="http://schemas.microsoft.com/office/drawing/2014/main" id="{C35C2B57-8615-F8E4-8654-E8E4583E9E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26</xdr:row>
          <xdr:rowOff>38100</xdr:rowOff>
        </xdr:from>
        <xdr:to>
          <xdr:col>1</xdr:col>
          <xdr:colOff>152400</xdr:colOff>
          <xdr:row>26</xdr:row>
          <xdr:rowOff>125730</xdr:rowOff>
        </xdr:to>
        <xdr:sp macro="" textlink="">
          <xdr:nvSpPr>
            <xdr:cNvPr id="29720" name="Check Box 24" hidden="1">
              <a:extLst>
                <a:ext uri="{63B3BB69-23CF-44E3-9099-C40C66FF867C}">
                  <a14:compatExt spid="_x0000_s29720"/>
                </a:ext>
                <a:ext uri="{FF2B5EF4-FFF2-40B4-BE49-F238E27FC236}">
                  <a16:creationId xmlns:a16="http://schemas.microsoft.com/office/drawing/2014/main" id="{C10A6B11-6A08-166C-EADE-D59B4AFF42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27</xdr:row>
          <xdr:rowOff>41910</xdr:rowOff>
        </xdr:from>
        <xdr:to>
          <xdr:col>1</xdr:col>
          <xdr:colOff>152400</xdr:colOff>
          <xdr:row>27</xdr:row>
          <xdr:rowOff>129540</xdr:rowOff>
        </xdr:to>
        <xdr:sp macro="" textlink="">
          <xdr:nvSpPr>
            <xdr:cNvPr id="29721" name="Check Box 25" hidden="1">
              <a:extLst>
                <a:ext uri="{63B3BB69-23CF-44E3-9099-C40C66FF867C}">
                  <a14:compatExt spid="_x0000_s29721"/>
                </a:ext>
                <a:ext uri="{FF2B5EF4-FFF2-40B4-BE49-F238E27FC236}">
                  <a16:creationId xmlns:a16="http://schemas.microsoft.com/office/drawing/2014/main" id="{2AB65CA9-1EAF-157E-51F5-0A87814534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1257300</xdr:colOff>
      <xdr:row>31</xdr:row>
      <xdr:rowOff>9525</xdr:rowOff>
    </xdr:from>
    <xdr:to>
      <xdr:col>0</xdr:col>
      <xdr:colOff>5829300</xdr:colOff>
      <xdr:row>48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3</xdr:row>
          <xdr:rowOff>19050</xdr:rowOff>
        </xdr:from>
        <xdr:to>
          <xdr:col>1</xdr:col>
          <xdr:colOff>152400</xdr:colOff>
          <xdr:row>3</xdr:row>
          <xdr:rowOff>106680</xdr:rowOff>
        </xdr:to>
        <xdr:sp macro="" textlink="">
          <xdr:nvSpPr>
            <xdr:cNvPr id="30721" name="Check Box 1" hidden="1">
              <a:extLst>
                <a:ext uri="{63B3BB69-23CF-44E3-9099-C40C66FF867C}">
                  <a14:compatExt spid="_x0000_s30721"/>
                </a:ext>
                <a:ext uri="{FF2B5EF4-FFF2-40B4-BE49-F238E27FC236}">
                  <a16:creationId xmlns:a16="http://schemas.microsoft.com/office/drawing/2014/main" id="{A088A521-2DDB-DEBE-B171-4EE8E1EE2F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4</xdr:row>
          <xdr:rowOff>19050</xdr:rowOff>
        </xdr:from>
        <xdr:to>
          <xdr:col>1</xdr:col>
          <xdr:colOff>152400</xdr:colOff>
          <xdr:row>4</xdr:row>
          <xdr:rowOff>106680</xdr:rowOff>
        </xdr:to>
        <xdr:sp macro="" textlink="">
          <xdr:nvSpPr>
            <xdr:cNvPr id="30722" name="Check Box 2" hidden="1">
              <a:extLst>
                <a:ext uri="{63B3BB69-23CF-44E3-9099-C40C66FF867C}">
                  <a14:compatExt spid="_x0000_s30722"/>
                </a:ext>
                <a:ext uri="{FF2B5EF4-FFF2-40B4-BE49-F238E27FC236}">
                  <a16:creationId xmlns:a16="http://schemas.microsoft.com/office/drawing/2014/main" id="{2DAF089F-D431-25D5-5732-68738F381C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5</xdr:row>
          <xdr:rowOff>19050</xdr:rowOff>
        </xdr:from>
        <xdr:to>
          <xdr:col>1</xdr:col>
          <xdr:colOff>152400</xdr:colOff>
          <xdr:row>5</xdr:row>
          <xdr:rowOff>106680</xdr:rowOff>
        </xdr:to>
        <xdr:sp macro="" textlink="">
          <xdr:nvSpPr>
            <xdr:cNvPr id="30723" name="Check Box 3" hidden="1">
              <a:extLst>
                <a:ext uri="{63B3BB69-23CF-44E3-9099-C40C66FF867C}">
                  <a14:compatExt spid="_x0000_s30723"/>
                </a:ext>
                <a:ext uri="{FF2B5EF4-FFF2-40B4-BE49-F238E27FC236}">
                  <a16:creationId xmlns:a16="http://schemas.microsoft.com/office/drawing/2014/main" id="{29C841F0-7A69-DCE5-10D2-E9D1811B27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6</xdr:row>
          <xdr:rowOff>19050</xdr:rowOff>
        </xdr:from>
        <xdr:to>
          <xdr:col>1</xdr:col>
          <xdr:colOff>152400</xdr:colOff>
          <xdr:row>6</xdr:row>
          <xdr:rowOff>106680</xdr:rowOff>
        </xdr:to>
        <xdr:sp macro="" textlink="">
          <xdr:nvSpPr>
            <xdr:cNvPr id="30724" name="Check Box 4" hidden="1">
              <a:extLst>
                <a:ext uri="{63B3BB69-23CF-44E3-9099-C40C66FF867C}">
                  <a14:compatExt spid="_x0000_s30724"/>
                </a:ext>
                <a:ext uri="{FF2B5EF4-FFF2-40B4-BE49-F238E27FC236}">
                  <a16:creationId xmlns:a16="http://schemas.microsoft.com/office/drawing/2014/main" id="{D6868BDE-24F3-F62A-4F67-5A9B8E8899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7</xdr:row>
          <xdr:rowOff>19050</xdr:rowOff>
        </xdr:from>
        <xdr:to>
          <xdr:col>1</xdr:col>
          <xdr:colOff>152400</xdr:colOff>
          <xdr:row>7</xdr:row>
          <xdr:rowOff>106680</xdr:rowOff>
        </xdr:to>
        <xdr:sp macro="" textlink="">
          <xdr:nvSpPr>
            <xdr:cNvPr id="30725" name="Check Box 5" hidden="1">
              <a:extLst>
                <a:ext uri="{63B3BB69-23CF-44E3-9099-C40C66FF867C}">
                  <a14:compatExt spid="_x0000_s30725"/>
                </a:ext>
                <a:ext uri="{FF2B5EF4-FFF2-40B4-BE49-F238E27FC236}">
                  <a16:creationId xmlns:a16="http://schemas.microsoft.com/office/drawing/2014/main" id="{50D693F8-5FA3-4B08-433E-5A35A38024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8</xdr:row>
          <xdr:rowOff>19050</xdr:rowOff>
        </xdr:from>
        <xdr:to>
          <xdr:col>1</xdr:col>
          <xdr:colOff>152400</xdr:colOff>
          <xdr:row>8</xdr:row>
          <xdr:rowOff>106680</xdr:rowOff>
        </xdr:to>
        <xdr:sp macro="" textlink="">
          <xdr:nvSpPr>
            <xdr:cNvPr id="30726" name="Check Box 6" hidden="1">
              <a:extLst>
                <a:ext uri="{63B3BB69-23CF-44E3-9099-C40C66FF867C}">
                  <a14:compatExt spid="_x0000_s30726"/>
                </a:ext>
                <a:ext uri="{FF2B5EF4-FFF2-40B4-BE49-F238E27FC236}">
                  <a16:creationId xmlns:a16="http://schemas.microsoft.com/office/drawing/2014/main" id="{C674C89B-EA01-6627-6626-AC67E105C3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9</xdr:row>
          <xdr:rowOff>26670</xdr:rowOff>
        </xdr:from>
        <xdr:to>
          <xdr:col>1</xdr:col>
          <xdr:colOff>152400</xdr:colOff>
          <xdr:row>9</xdr:row>
          <xdr:rowOff>114300</xdr:rowOff>
        </xdr:to>
        <xdr:sp macro="" textlink="">
          <xdr:nvSpPr>
            <xdr:cNvPr id="30727" name="Check Box 7" hidden="1">
              <a:extLst>
                <a:ext uri="{63B3BB69-23CF-44E3-9099-C40C66FF867C}">
                  <a14:compatExt spid="_x0000_s30727"/>
                </a:ext>
                <a:ext uri="{FF2B5EF4-FFF2-40B4-BE49-F238E27FC236}">
                  <a16:creationId xmlns:a16="http://schemas.microsoft.com/office/drawing/2014/main" id="{8ECC6CC9-3E88-1835-9CC5-3210AEBDA9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10</xdr:row>
          <xdr:rowOff>22860</xdr:rowOff>
        </xdr:from>
        <xdr:to>
          <xdr:col>1</xdr:col>
          <xdr:colOff>152400</xdr:colOff>
          <xdr:row>10</xdr:row>
          <xdr:rowOff>110490</xdr:rowOff>
        </xdr:to>
        <xdr:sp macro="" textlink="">
          <xdr:nvSpPr>
            <xdr:cNvPr id="30728" name="Check Box 8" hidden="1">
              <a:extLst>
                <a:ext uri="{63B3BB69-23CF-44E3-9099-C40C66FF867C}">
                  <a14:compatExt spid="_x0000_s30728"/>
                </a:ext>
                <a:ext uri="{FF2B5EF4-FFF2-40B4-BE49-F238E27FC236}">
                  <a16:creationId xmlns:a16="http://schemas.microsoft.com/office/drawing/2014/main" id="{970FE3AE-B0E3-DAB1-F8E3-98106DF285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11</xdr:row>
          <xdr:rowOff>19050</xdr:rowOff>
        </xdr:from>
        <xdr:to>
          <xdr:col>1</xdr:col>
          <xdr:colOff>152400</xdr:colOff>
          <xdr:row>11</xdr:row>
          <xdr:rowOff>106680</xdr:rowOff>
        </xdr:to>
        <xdr:sp macro="" textlink="">
          <xdr:nvSpPr>
            <xdr:cNvPr id="30729" name="Check Box 9" hidden="1">
              <a:extLst>
                <a:ext uri="{63B3BB69-23CF-44E3-9099-C40C66FF867C}">
                  <a14:compatExt spid="_x0000_s30729"/>
                </a:ext>
                <a:ext uri="{FF2B5EF4-FFF2-40B4-BE49-F238E27FC236}">
                  <a16:creationId xmlns:a16="http://schemas.microsoft.com/office/drawing/2014/main" id="{69806DEB-6C12-5872-129E-E72679ECAD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12</xdr:row>
          <xdr:rowOff>30480</xdr:rowOff>
        </xdr:from>
        <xdr:to>
          <xdr:col>1</xdr:col>
          <xdr:colOff>152400</xdr:colOff>
          <xdr:row>12</xdr:row>
          <xdr:rowOff>118110</xdr:rowOff>
        </xdr:to>
        <xdr:sp macro="" textlink="">
          <xdr:nvSpPr>
            <xdr:cNvPr id="30730" name="Check Box 10" hidden="1">
              <a:extLst>
                <a:ext uri="{63B3BB69-23CF-44E3-9099-C40C66FF867C}">
                  <a14:compatExt spid="_x0000_s30730"/>
                </a:ext>
                <a:ext uri="{FF2B5EF4-FFF2-40B4-BE49-F238E27FC236}">
                  <a16:creationId xmlns:a16="http://schemas.microsoft.com/office/drawing/2014/main" id="{EDC22F85-CBCD-4E11-4145-8DBDF250C1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13</xdr:row>
          <xdr:rowOff>19050</xdr:rowOff>
        </xdr:from>
        <xdr:to>
          <xdr:col>1</xdr:col>
          <xdr:colOff>152400</xdr:colOff>
          <xdr:row>13</xdr:row>
          <xdr:rowOff>106680</xdr:rowOff>
        </xdr:to>
        <xdr:sp macro="" textlink="">
          <xdr:nvSpPr>
            <xdr:cNvPr id="30731" name="Check Box 11" hidden="1">
              <a:extLst>
                <a:ext uri="{63B3BB69-23CF-44E3-9099-C40C66FF867C}">
                  <a14:compatExt spid="_x0000_s30731"/>
                </a:ext>
                <a:ext uri="{FF2B5EF4-FFF2-40B4-BE49-F238E27FC236}">
                  <a16:creationId xmlns:a16="http://schemas.microsoft.com/office/drawing/2014/main" id="{786EDB01-F24F-5F0E-92E4-4CAD58CAA5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14</xdr:row>
          <xdr:rowOff>22860</xdr:rowOff>
        </xdr:from>
        <xdr:to>
          <xdr:col>1</xdr:col>
          <xdr:colOff>152400</xdr:colOff>
          <xdr:row>14</xdr:row>
          <xdr:rowOff>110490</xdr:rowOff>
        </xdr:to>
        <xdr:sp macro="" textlink="">
          <xdr:nvSpPr>
            <xdr:cNvPr id="30732" name="Check Box 12" hidden="1">
              <a:extLst>
                <a:ext uri="{63B3BB69-23CF-44E3-9099-C40C66FF867C}">
                  <a14:compatExt spid="_x0000_s30732"/>
                </a:ext>
                <a:ext uri="{FF2B5EF4-FFF2-40B4-BE49-F238E27FC236}">
                  <a16:creationId xmlns:a16="http://schemas.microsoft.com/office/drawing/2014/main" id="{62DD13DB-9207-40FB-AEDD-45F66A558F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15</xdr:row>
          <xdr:rowOff>26670</xdr:rowOff>
        </xdr:from>
        <xdr:to>
          <xdr:col>1</xdr:col>
          <xdr:colOff>152400</xdr:colOff>
          <xdr:row>15</xdr:row>
          <xdr:rowOff>114300</xdr:rowOff>
        </xdr:to>
        <xdr:sp macro="" textlink="">
          <xdr:nvSpPr>
            <xdr:cNvPr id="30733" name="Check Box 13" hidden="1">
              <a:extLst>
                <a:ext uri="{63B3BB69-23CF-44E3-9099-C40C66FF867C}">
                  <a14:compatExt spid="_x0000_s30733"/>
                </a:ext>
                <a:ext uri="{FF2B5EF4-FFF2-40B4-BE49-F238E27FC236}">
                  <a16:creationId xmlns:a16="http://schemas.microsoft.com/office/drawing/2014/main" id="{AF2DB872-970A-BD34-958F-1D701D4DF6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16</xdr:row>
          <xdr:rowOff>30480</xdr:rowOff>
        </xdr:from>
        <xdr:to>
          <xdr:col>1</xdr:col>
          <xdr:colOff>152400</xdr:colOff>
          <xdr:row>16</xdr:row>
          <xdr:rowOff>118110</xdr:rowOff>
        </xdr:to>
        <xdr:sp macro="" textlink="">
          <xdr:nvSpPr>
            <xdr:cNvPr id="30734" name="Check Box 14" hidden="1">
              <a:extLst>
                <a:ext uri="{63B3BB69-23CF-44E3-9099-C40C66FF867C}">
                  <a14:compatExt spid="_x0000_s30734"/>
                </a:ext>
                <a:ext uri="{FF2B5EF4-FFF2-40B4-BE49-F238E27FC236}">
                  <a16:creationId xmlns:a16="http://schemas.microsoft.com/office/drawing/2014/main" id="{55C00167-E507-7CC8-57C3-7143EBAF9F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17</xdr:row>
          <xdr:rowOff>22860</xdr:rowOff>
        </xdr:from>
        <xdr:to>
          <xdr:col>1</xdr:col>
          <xdr:colOff>152400</xdr:colOff>
          <xdr:row>17</xdr:row>
          <xdr:rowOff>110490</xdr:rowOff>
        </xdr:to>
        <xdr:sp macro="" textlink="">
          <xdr:nvSpPr>
            <xdr:cNvPr id="30735" name="Check Box 15" hidden="1">
              <a:extLst>
                <a:ext uri="{63B3BB69-23CF-44E3-9099-C40C66FF867C}">
                  <a14:compatExt spid="_x0000_s30735"/>
                </a:ext>
                <a:ext uri="{FF2B5EF4-FFF2-40B4-BE49-F238E27FC236}">
                  <a16:creationId xmlns:a16="http://schemas.microsoft.com/office/drawing/2014/main" id="{31465235-9A34-D9E0-2E98-CC69D3D23D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18</xdr:row>
          <xdr:rowOff>19050</xdr:rowOff>
        </xdr:from>
        <xdr:to>
          <xdr:col>1</xdr:col>
          <xdr:colOff>152400</xdr:colOff>
          <xdr:row>18</xdr:row>
          <xdr:rowOff>106680</xdr:rowOff>
        </xdr:to>
        <xdr:sp macro="" textlink="">
          <xdr:nvSpPr>
            <xdr:cNvPr id="30736" name="Check Box 16" hidden="1">
              <a:extLst>
                <a:ext uri="{63B3BB69-23CF-44E3-9099-C40C66FF867C}">
                  <a14:compatExt spid="_x0000_s30736"/>
                </a:ext>
                <a:ext uri="{FF2B5EF4-FFF2-40B4-BE49-F238E27FC236}">
                  <a16:creationId xmlns:a16="http://schemas.microsoft.com/office/drawing/2014/main" id="{CB082552-46BF-76B6-C269-20ADB34EE6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19</xdr:row>
          <xdr:rowOff>30480</xdr:rowOff>
        </xdr:from>
        <xdr:to>
          <xdr:col>1</xdr:col>
          <xdr:colOff>152400</xdr:colOff>
          <xdr:row>19</xdr:row>
          <xdr:rowOff>118110</xdr:rowOff>
        </xdr:to>
        <xdr:sp macro="" textlink="">
          <xdr:nvSpPr>
            <xdr:cNvPr id="30737" name="Check Box 17" hidden="1">
              <a:extLst>
                <a:ext uri="{63B3BB69-23CF-44E3-9099-C40C66FF867C}">
                  <a14:compatExt spid="_x0000_s30737"/>
                </a:ext>
                <a:ext uri="{FF2B5EF4-FFF2-40B4-BE49-F238E27FC236}">
                  <a16:creationId xmlns:a16="http://schemas.microsoft.com/office/drawing/2014/main" id="{84F60E92-E337-A9C0-4214-ABDD2DC9BF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20</xdr:row>
          <xdr:rowOff>22860</xdr:rowOff>
        </xdr:from>
        <xdr:to>
          <xdr:col>1</xdr:col>
          <xdr:colOff>152400</xdr:colOff>
          <xdr:row>20</xdr:row>
          <xdr:rowOff>110490</xdr:rowOff>
        </xdr:to>
        <xdr:sp macro="" textlink="">
          <xdr:nvSpPr>
            <xdr:cNvPr id="30738" name="Check Box 18" hidden="1">
              <a:extLst>
                <a:ext uri="{63B3BB69-23CF-44E3-9099-C40C66FF867C}">
                  <a14:compatExt spid="_x0000_s30738"/>
                </a:ext>
                <a:ext uri="{FF2B5EF4-FFF2-40B4-BE49-F238E27FC236}">
                  <a16:creationId xmlns:a16="http://schemas.microsoft.com/office/drawing/2014/main" id="{73F4B02F-ADE4-865E-B4E4-A86A9CA5CA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21</xdr:row>
          <xdr:rowOff>22860</xdr:rowOff>
        </xdr:from>
        <xdr:to>
          <xdr:col>1</xdr:col>
          <xdr:colOff>152400</xdr:colOff>
          <xdr:row>21</xdr:row>
          <xdr:rowOff>110490</xdr:rowOff>
        </xdr:to>
        <xdr:sp macro="" textlink="">
          <xdr:nvSpPr>
            <xdr:cNvPr id="30739" name="Check Box 19" hidden="1">
              <a:extLst>
                <a:ext uri="{63B3BB69-23CF-44E3-9099-C40C66FF867C}">
                  <a14:compatExt spid="_x0000_s30739"/>
                </a:ext>
                <a:ext uri="{FF2B5EF4-FFF2-40B4-BE49-F238E27FC236}">
                  <a16:creationId xmlns:a16="http://schemas.microsoft.com/office/drawing/2014/main" id="{012A1354-5EE8-4B68-04DD-FDB01ADBF7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22</xdr:row>
          <xdr:rowOff>26670</xdr:rowOff>
        </xdr:from>
        <xdr:to>
          <xdr:col>1</xdr:col>
          <xdr:colOff>152400</xdr:colOff>
          <xdr:row>22</xdr:row>
          <xdr:rowOff>114300</xdr:rowOff>
        </xdr:to>
        <xdr:sp macro="" textlink="">
          <xdr:nvSpPr>
            <xdr:cNvPr id="30740" name="Check Box 20" hidden="1">
              <a:extLst>
                <a:ext uri="{63B3BB69-23CF-44E3-9099-C40C66FF867C}">
                  <a14:compatExt spid="_x0000_s30740"/>
                </a:ext>
                <a:ext uri="{FF2B5EF4-FFF2-40B4-BE49-F238E27FC236}">
                  <a16:creationId xmlns:a16="http://schemas.microsoft.com/office/drawing/2014/main" id="{33225E69-5C24-A639-C044-2DD4B825AC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23</xdr:row>
          <xdr:rowOff>19050</xdr:rowOff>
        </xdr:from>
        <xdr:to>
          <xdr:col>1</xdr:col>
          <xdr:colOff>152400</xdr:colOff>
          <xdr:row>23</xdr:row>
          <xdr:rowOff>106680</xdr:rowOff>
        </xdr:to>
        <xdr:sp macro="" textlink="">
          <xdr:nvSpPr>
            <xdr:cNvPr id="30741" name="Check Box 21" hidden="1">
              <a:extLst>
                <a:ext uri="{63B3BB69-23CF-44E3-9099-C40C66FF867C}">
                  <a14:compatExt spid="_x0000_s30741"/>
                </a:ext>
                <a:ext uri="{FF2B5EF4-FFF2-40B4-BE49-F238E27FC236}">
                  <a16:creationId xmlns:a16="http://schemas.microsoft.com/office/drawing/2014/main" id="{A7A4B6BE-19FF-6480-B1AC-29361A22A9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24</xdr:row>
          <xdr:rowOff>41910</xdr:rowOff>
        </xdr:from>
        <xdr:to>
          <xdr:col>1</xdr:col>
          <xdr:colOff>152400</xdr:colOff>
          <xdr:row>24</xdr:row>
          <xdr:rowOff>129540</xdr:rowOff>
        </xdr:to>
        <xdr:sp macro="" textlink="">
          <xdr:nvSpPr>
            <xdr:cNvPr id="30742" name="Check Box 22" hidden="1">
              <a:extLst>
                <a:ext uri="{63B3BB69-23CF-44E3-9099-C40C66FF867C}">
                  <a14:compatExt spid="_x0000_s30742"/>
                </a:ext>
                <a:ext uri="{FF2B5EF4-FFF2-40B4-BE49-F238E27FC236}">
                  <a16:creationId xmlns:a16="http://schemas.microsoft.com/office/drawing/2014/main" id="{90383025-8BC7-D32F-3682-3A3E27B13E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25</xdr:row>
          <xdr:rowOff>45720</xdr:rowOff>
        </xdr:from>
        <xdr:to>
          <xdr:col>1</xdr:col>
          <xdr:colOff>152400</xdr:colOff>
          <xdr:row>25</xdr:row>
          <xdr:rowOff>133350</xdr:rowOff>
        </xdr:to>
        <xdr:sp macro="" textlink="">
          <xdr:nvSpPr>
            <xdr:cNvPr id="30743" name="Check Box 23" hidden="1">
              <a:extLst>
                <a:ext uri="{63B3BB69-23CF-44E3-9099-C40C66FF867C}">
                  <a14:compatExt spid="_x0000_s30743"/>
                </a:ext>
                <a:ext uri="{FF2B5EF4-FFF2-40B4-BE49-F238E27FC236}">
                  <a16:creationId xmlns:a16="http://schemas.microsoft.com/office/drawing/2014/main" id="{531A42F4-C015-4DD9-F9F1-DABAD0C9E5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26</xdr:row>
          <xdr:rowOff>38100</xdr:rowOff>
        </xdr:from>
        <xdr:to>
          <xdr:col>1</xdr:col>
          <xdr:colOff>152400</xdr:colOff>
          <xdr:row>26</xdr:row>
          <xdr:rowOff>125730</xdr:rowOff>
        </xdr:to>
        <xdr:sp macro="" textlink="">
          <xdr:nvSpPr>
            <xdr:cNvPr id="30744" name="Check Box 24" hidden="1">
              <a:extLst>
                <a:ext uri="{63B3BB69-23CF-44E3-9099-C40C66FF867C}">
                  <a14:compatExt spid="_x0000_s30744"/>
                </a:ext>
                <a:ext uri="{FF2B5EF4-FFF2-40B4-BE49-F238E27FC236}">
                  <a16:creationId xmlns:a16="http://schemas.microsoft.com/office/drawing/2014/main" id="{83A2F97C-CC90-A977-B28C-C0D5E9ECAE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27</xdr:row>
          <xdr:rowOff>41910</xdr:rowOff>
        </xdr:from>
        <xdr:to>
          <xdr:col>1</xdr:col>
          <xdr:colOff>152400</xdr:colOff>
          <xdr:row>27</xdr:row>
          <xdr:rowOff>129540</xdr:rowOff>
        </xdr:to>
        <xdr:sp macro="" textlink="">
          <xdr:nvSpPr>
            <xdr:cNvPr id="30745" name="Check Box 25" hidden="1">
              <a:extLst>
                <a:ext uri="{63B3BB69-23CF-44E3-9099-C40C66FF867C}">
                  <a14:compatExt spid="_x0000_s30745"/>
                </a:ext>
                <a:ext uri="{FF2B5EF4-FFF2-40B4-BE49-F238E27FC236}">
                  <a16:creationId xmlns:a16="http://schemas.microsoft.com/office/drawing/2014/main" id="{A7D684EE-3FE8-A355-9E41-C1FA5B1A73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238126</xdr:colOff>
      <xdr:row>33</xdr:row>
      <xdr:rowOff>76200</xdr:rowOff>
    </xdr:from>
    <xdr:to>
      <xdr:col>6</xdr:col>
      <xdr:colOff>1133475</xdr:colOff>
      <xdr:row>49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838200</xdr:colOff>
      <xdr:row>20</xdr:row>
      <xdr:rowOff>19050</xdr:rowOff>
    </xdr:from>
    <xdr:to>
      <xdr:col>4</xdr:col>
      <xdr:colOff>323849</xdr:colOff>
      <xdr:row>41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38100</xdr:rowOff>
        </xdr:from>
        <xdr:to>
          <xdr:col>4</xdr:col>
          <xdr:colOff>297180</xdr:colOff>
          <xdr:row>4</xdr:row>
          <xdr:rowOff>125730</xdr:rowOff>
        </xdr:to>
        <xdr:sp macro="" textlink="">
          <xdr:nvSpPr>
            <xdr:cNvPr id="31746" name="Drop Down 2" hidden="1">
              <a:extLst>
                <a:ext uri="{63B3BB69-23CF-44E3-9099-C40C66FF867C}">
                  <a14:compatExt spid="_x0000_s31746"/>
                </a:ext>
                <a:ext uri="{FF2B5EF4-FFF2-40B4-BE49-F238E27FC236}">
                  <a16:creationId xmlns:a16="http://schemas.microsoft.com/office/drawing/2014/main" id="{F213EBEE-B1BC-53C8-320B-3AD83AD94E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5</xdr:row>
          <xdr:rowOff>38100</xdr:rowOff>
        </xdr:from>
        <xdr:to>
          <xdr:col>4</xdr:col>
          <xdr:colOff>297180</xdr:colOff>
          <xdr:row>5</xdr:row>
          <xdr:rowOff>125730</xdr:rowOff>
        </xdr:to>
        <xdr:sp macro="" textlink="">
          <xdr:nvSpPr>
            <xdr:cNvPr id="31747" name="Drop Down 3" hidden="1">
              <a:extLst>
                <a:ext uri="{63B3BB69-23CF-44E3-9099-C40C66FF867C}">
                  <a14:compatExt spid="_x0000_s31747"/>
                </a:ext>
                <a:ext uri="{FF2B5EF4-FFF2-40B4-BE49-F238E27FC236}">
                  <a16:creationId xmlns:a16="http://schemas.microsoft.com/office/drawing/2014/main" id="{3998D6AC-41DA-2BD3-6995-0F5CE89B77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6</xdr:row>
          <xdr:rowOff>38100</xdr:rowOff>
        </xdr:from>
        <xdr:to>
          <xdr:col>4</xdr:col>
          <xdr:colOff>297180</xdr:colOff>
          <xdr:row>6</xdr:row>
          <xdr:rowOff>125730</xdr:rowOff>
        </xdr:to>
        <xdr:sp macro="" textlink="">
          <xdr:nvSpPr>
            <xdr:cNvPr id="31748" name="Drop Down 4" hidden="1">
              <a:extLst>
                <a:ext uri="{63B3BB69-23CF-44E3-9099-C40C66FF867C}">
                  <a14:compatExt spid="_x0000_s31748"/>
                </a:ext>
                <a:ext uri="{FF2B5EF4-FFF2-40B4-BE49-F238E27FC236}">
                  <a16:creationId xmlns:a16="http://schemas.microsoft.com/office/drawing/2014/main" id="{3D2BBC9A-D466-2A08-C474-0D747CD871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7</xdr:row>
          <xdr:rowOff>38100</xdr:rowOff>
        </xdr:from>
        <xdr:to>
          <xdr:col>4</xdr:col>
          <xdr:colOff>297180</xdr:colOff>
          <xdr:row>7</xdr:row>
          <xdr:rowOff>125730</xdr:rowOff>
        </xdr:to>
        <xdr:sp macro="" textlink="">
          <xdr:nvSpPr>
            <xdr:cNvPr id="31749" name="Drop Down 5" hidden="1">
              <a:extLst>
                <a:ext uri="{63B3BB69-23CF-44E3-9099-C40C66FF867C}">
                  <a14:compatExt spid="_x0000_s31749"/>
                </a:ext>
                <a:ext uri="{FF2B5EF4-FFF2-40B4-BE49-F238E27FC236}">
                  <a16:creationId xmlns:a16="http://schemas.microsoft.com/office/drawing/2014/main" id="{0ABC686D-4D61-FD84-C1B9-E1DED94D02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8</xdr:row>
          <xdr:rowOff>38100</xdr:rowOff>
        </xdr:from>
        <xdr:to>
          <xdr:col>4</xdr:col>
          <xdr:colOff>297180</xdr:colOff>
          <xdr:row>8</xdr:row>
          <xdr:rowOff>125730</xdr:rowOff>
        </xdr:to>
        <xdr:sp macro="" textlink="">
          <xdr:nvSpPr>
            <xdr:cNvPr id="31750" name="Drop Down 6" hidden="1">
              <a:extLst>
                <a:ext uri="{63B3BB69-23CF-44E3-9099-C40C66FF867C}">
                  <a14:compatExt spid="_x0000_s31750"/>
                </a:ext>
                <a:ext uri="{FF2B5EF4-FFF2-40B4-BE49-F238E27FC236}">
                  <a16:creationId xmlns:a16="http://schemas.microsoft.com/office/drawing/2014/main" id="{6D2BA24D-C938-28C1-626F-CF8B288244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9</xdr:row>
          <xdr:rowOff>38100</xdr:rowOff>
        </xdr:from>
        <xdr:to>
          <xdr:col>4</xdr:col>
          <xdr:colOff>297180</xdr:colOff>
          <xdr:row>9</xdr:row>
          <xdr:rowOff>125730</xdr:rowOff>
        </xdr:to>
        <xdr:sp macro="" textlink="">
          <xdr:nvSpPr>
            <xdr:cNvPr id="31751" name="Drop Down 7" hidden="1">
              <a:extLst>
                <a:ext uri="{63B3BB69-23CF-44E3-9099-C40C66FF867C}">
                  <a14:compatExt spid="_x0000_s31751"/>
                </a:ext>
                <a:ext uri="{FF2B5EF4-FFF2-40B4-BE49-F238E27FC236}">
                  <a16:creationId xmlns:a16="http://schemas.microsoft.com/office/drawing/2014/main" id="{7115CE83-39B4-11E6-CB83-D6B822ACD5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10</xdr:row>
          <xdr:rowOff>38100</xdr:rowOff>
        </xdr:from>
        <xdr:to>
          <xdr:col>4</xdr:col>
          <xdr:colOff>297180</xdr:colOff>
          <xdr:row>10</xdr:row>
          <xdr:rowOff>125730</xdr:rowOff>
        </xdr:to>
        <xdr:sp macro="" textlink="">
          <xdr:nvSpPr>
            <xdr:cNvPr id="31752" name="Drop Down 8" hidden="1">
              <a:extLst>
                <a:ext uri="{63B3BB69-23CF-44E3-9099-C40C66FF867C}">
                  <a14:compatExt spid="_x0000_s31752"/>
                </a:ext>
                <a:ext uri="{FF2B5EF4-FFF2-40B4-BE49-F238E27FC236}">
                  <a16:creationId xmlns:a16="http://schemas.microsoft.com/office/drawing/2014/main" id="{141E1ED4-CF94-FB08-14A6-7C537765FA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11</xdr:row>
          <xdr:rowOff>38100</xdr:rowOff>
        </xdr:from>
        <xdr:to>
          <xdr:col>4</xdr:col>
          <xdr:colOff>297180</xdr:colOff>
          <xdr:row>11</xdr:row>
          <xdr:rowOff>125730</xdr:rowOff>
        </xdr:to>
        <xdr:sp macro="" textlink="">
          <xdr:nvSpPr>
            <xdr:cNvPr id="31754" name="Drop Down 10" hidden="1">
              <a:extLst>
                <a:ext uri="{63B3BB69-23CF-44E3-9099-C40C66FF867C}">
                  <a14:compatExt spid="_x0000_s31754"/>
                </a:ext>
                <a:ext uri="{FF2B5EF4-FFF2-40B4-BE49-F238E27FC236}">
                  <a16:creationId xmlns:a16="http://schemas.microsoft.com/office/drawing/2014/main" id="{7E534302-5493-BAFD-FA14-2FC16EA93A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12</xdr:row>
          <xdr:rowOff>38100</xdr:rowOff>
        </xdr:from>
        <xdr:to>
          <xdr:col>4</xdr:col>
          <xdr:colOff>297180</xdr:colOff>
          <xdr:row>12</xdr:row>
          <xdr:rowOff>125730</xdr:rowOff>
        </xdr:to>
        <xdr:sp macro="" textlink="">
          <xdr:nvSpPr>
            <xdr:cNvPr id="31755" name="Drop Down 11" hidden="1">
              <a:extLst>
                <a:ext uri="{63B3BB69-23CF-44E3-9099-C40C66FF867C}">
                  <a14:compatExt spid="_x0000_s31755"/>
                </a:ext>
                <a:ext uri="{FF2B5EF4-FFF2-40B4-BE49-F238E27FC236}">
                  <a16:creationId xmlns:a16="http://schemas.microsoft.com/office/drawing/2014/main" id="{ECDBE2F6-609D-89FF-DB57-E7BAE932F0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13</xdr:row>
          <xdr:rowOff>38100</xdr:rowOff>
        </xdr:from>
        <xdr:to>
          <xdr:col>4</xdr:col>
          <xdr:colOff>297180</xdr:colOff>
          <xdr:row>13</xdr:row>
          <xdr:rowOff>125730</xdr:rowOff>
        </xdr:to>
        <xdr:sp macro="" textlink="">
          <xdr:nvSpPr>
            <xdr:cNvPr id="31756" name="Drop Down 12" hidden="1">
              <a:extLst>
                <a:ext uri="{63B3BB69-23CF-44E3-9099-C40C66FF867C}">
                  <a14:compatExt spid="_x0000_s31756"/>
                </a:ext>
                <a:ext uri="{FF2B5EF4-FFF2-40B4-BE49-F238E27FC236}">
                  <a16:creationId xmlns:a16="http://schemas.microsoft.com/office/drawing/2014/main" id="{1E546385-6F85-DF20-68B0-E2DF4F6E98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14</xdr:row>
          <xdr:rowOff>38100</xdr:rowOff>
        </xdr:from>
        <xdr:to>
          <xdr:col>4</xdr:col>
          <xdr:colOff>297180</xdr:colOff>
          <xdr:row>14</xdr:row>
          <xdr:rowOff>125730</xdr:rowOff>
        </xdr:to>
        <xdr:sp macro="" textlink="">
          <xdr:nvSpPr>
            <xdr:cNvPr id="31757" name="Drop Down 13" hidden="1">
              <a:extLst>
                <a:ext uri="{63B3BB69-23CF-44E3-9099-C40C66FF867C}">
                  <a14:compatExt spid="_x0000_s31757"/>
                </a:ext>
                <a:ext uri="{FF2B5EF4-FFF2-40B4-BE49-F238E27FC236}">
                  <a16:creationId xmlns:a16="http://schemas.microsoft.com/office/drawing/2014/main" id="{5AD88F81-DDF5-B1F9-CA0B-5E95F0EF39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15</xdr:row>
          <xdr:rowOff>38100</xdr:rowOff>
        </xdr:from>
        <xdr:to>
          <xdr:col>4</xdr:col>
          <xdr:colOff>297180</xdr:colOff>
          <xdr:row>15</xdr:row>
          <xdr:rowOff>125730</xdr:rowOff>
        </xdr:to>
        <xdr:sp macro="" textlink="">
          <xdr:nvSpPr>
            <xdr:cNvPr id="31758" name="Drop Down 14" hidden="1">
              <a:extLst>
                <a:ext uri="{63B3BB69-23CF-44E3-9099-C40C66FF867C}">
                  <a14:compatExt spid="_x0000_s31758"/>
                </a:ext>
                <a:ext uri="{FF2B5EF4-FFF2-40B4-BE49-F238E27FC236}">
                  <a16:creationId xmlns:a16="http://schemas.microsoft.com/office/drawing/2014/main" id="{560F3EDF-7CFD-C5CF-0F7F-A645EAD490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16</xdr:row>
          <xdr:rowOff>38100</xdr:rowOff>
        </xdr:from>
        <xdr:to>
          <xdr:col>4</xdr:col>
          <xdr:colOff>297180</xdr:colOff>
          <xdr:row>16</xdr:row>
          <xdr:rowOff>125730</xdr:rowOff>
        </xdr:to>
        <xdr:sp macro="" textlink="">
          <xdr:nvSpPr>
            <xdr:cNvPr id="31759" name="Drop Down 15" hidden="1">
              <a:extLst>
                <a:ext uri="{63B3BB69-23CF-44E3-9099-C40C66FF867C}">
                  <a14:compatExt spid="_x0000_s31759"/>
                </a:ext>
                <a:ext uri="{FF2B5EF4-FFF2-40B4-BE49-F238E27FC236}">
                  <a16:creationId xmlns:a16="http://schemas.microsoft.com/office/drawing/2014/main" id="{48E222FE-0702-A064-FBCA-3C6B4550F9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17</xdr:row>
          <xdr:rowOff>38100</xdr:rowOff>
        </xdr:from>
        <xdr:to>
          <xdr:col>4</xdr:col>
          <xdr:colOff>297180</xdr:colOff>
          <xdr:row>17</xdr:row>
          <xdr:rowOff>125730</xdr:rowOff>
        </xdr:to>
        <xdr:sp macro="" textlink="">
          <xdr:nvSpPr>
            <xdr:cNvPr id="31760" name="Drop Down 16" hidden="1">
              <a:extLst>
                <a:ext uri="{63B3BB69-23CF-44E3-9099-C40C66FF867C}">
                  <a14:compatExt spid="_x0000_s31760"/>
                </a:ext>
                <a:ext uri="{FF2B5EF4-FFF2-40B4-BE49-F238E27FC236}">
                  <a16:creationId xmlns:a16="http://schemas.microsoft.com/office/drawing/2014/main" id="{7B3F1C42-5F84-E7E4-8A81-7EE21FDE29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18</xdr:row>
          <xdr:rowOff>38100</xdr:rowOff>
        </xdr:from>
        <xdr:to>
          <xdr:col>4</xdr:col>
          <xdr:colOff>297180</xdr:colOff>
          <xdr:row>18</xdr:row>
          <xdr:rowOff>125730</xdr:rowOff>
        </xdr:to>
        <xdr:sp macro="" textlink="">
          <xdr:nvSpPr>
            <xdr:cNvPr id="31761" name="Drop Down 17" hidden="1">
              <a:extLst>
                <a:ext uri="{63B3BB69-23CF-44E3-9099-C40C66FF867C}">
                  <a14:compatExt spid="_x0000_s31761"/>
                </a:ext>
                <a:ext uri="{FF2B5EF4-FFF2-40B4-BE49-F238E27FC236}">
                  <a16:creationId xmlns:a16="http://schemas.microsoft.com/office/drawing/2014/main" id="{8DC12E62-8841-B7A6-05F2-493F49C5C4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37</xdr:row>
      <xdr:rowOff>38100</xdr:rowOff>
    </xdr:from>
    <xdr:to>
      <xdr:col>11</xdr:col>
      <xdr:colOff>533400</xdr:colOff>
      <xdr:row>54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</xdr:colOff>
          <xdr:row>4</xdr:row>
          <xdr:rowOff>11430</xdr:rowOff>
        </xdr:from>
        <xdr:to>
          <xdr:col>5</xdr:col>
          <xdr:colOff>152400</xdr:colOff>
          <xdr:row>4</xdr:row>
          <xdr:rowOff>99060</xdr:rowOff>
        </xdr:to>
        <xdr:sp macro="" textlink="">
          <xdr:nvSpPr>
            <xdr:cNvPr id="32770" name="Check Box 2" hidden="1">
              <a:extLst>
                <a:ext uri="{63B3BB69-23CF-44E3-9099-C40C66FF867C}">
                  <a14:compatExt spid="_x0000_s32770"/>
                </a:ext>
                <a:ext uri="{FF2B5EF4-FFF2-40B4-BE49-F238E27FC236}">
                  <a16:creationId xmlns:a16="http://schemas.microsoft.com/office/drawing/2014/main" id="{C0A1DA8B-17FB-A9E4-DFA6-AF12A2B0EB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</xdr:colOff>
          <xdr:row>5</xdr:row>
          <xdr:rowOff>11430</xdr:rowOff>
        </xdr:from>
        <xdr:to>
          <xdr:col>5</xdr:col>
          <xdr:colOff>152400</xdr:colOff>
          <xdr:row>5</xdr:row>
          <xdr:rowOff>99060</xdr:rowOff>
        </xdr:to>
        <xdr:sp macro="" textlink="">
          <xdr:nvSpPr>
            <xdr:cNvPr id="32771" name="Check Box 3" hidden="1">
              <a:extLst>
                <a:ext uri="{63B3BB69-23CF-44E3-9099-C40C66FF867C}">
                  <a14:compatExt spid="_x0000_s32771"/>
                </a:ext>
                <a:ext uri="{FF2B5EF4-FFF2-40B4-BE49-F238E27FC236}">
                  <a16:creationId xmlns:a16="http://schemas.microsoft.com/office/drawing/2014/main" id="{F42833E7-08F1-E602-D09A-3AF41EA22D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</xdr:colOff>
          <xdr:row>6</xdr:row>
          <xdr:rowOff>11430</xdr:rowOff>
        </xdr:from>
        <xdr:to>
          <xdr:col>5</xdr:col>
          <xdr:colOff>152400</xdr:colOff>
          <xdr:row>6</xdr:row>
          <xdr:rowOff>99060</xdr:rowOff>
        </xdr:to>
        <xdr:sp macro="" textlink="">
          <xdr:nvSpPr>
            <xdr:cNvPr id="32772" name="Check Box 4" hidden="1">
              <a:extLst>
                <a:ext uri="{63B3BB69-23CF-44E3-9099-C40C66FF867C}">
                  <a14:compatExt spid="_x0000_s32772"/>
                </a:ext>
                <a:ext uri="{FF2B5EF4-FFF2-40B4-BE49-F238E27FC236}">
                  <a16:creationId xmlns:a16="http://schemas.microsoft.com/office/drawing/2014/main" id="{4A3E54DA-8755-0627-A379-9810A9F91B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</xdr:colOff>
          <xdr:row>7</xdr:row>
          <xdr:rowOff>11430</xdr:rowOff>
        </xdr:from>
        <xdr:to>
          <xdr:col>5</xdr:col>
          <xdr:colOff>152400</xdr:colOff>
          <xdr:row>7</xdr:row>
          <xdr:rowOff>99060</xdr:rowOff>
        </xdr:to>
        <xdr:sp macro="" textlink="">
          <xdr:nvSpPr>
            <xdr:cNvPr id="32773" name="Check Box 5" hidden="1">
              <a:extLst>
                <a:ext uri="{63B3BB69-23CF-44E3-9099-C40C66FF867C}">
                  <a14:compatExt spid="_x0000_s32773"/>
                </a:ext>
                <a:ext uri="{FF2B5EF4-FFF2-40B4-BE49-F238E27FC236}">
                  <a16:creationId xmlns:a16="http://schemas.microsoft.com/office/drawing/2014/main" id="{FA1C0719-3D44-047A-ADF2-34CB927B56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</xdr:colOff>
          <xdr:row>8</xdr:row>
          <xdr:rowOff>11430</xdr:rowOff>
        </xdr:from>
        <xdr:to>
          <xdr:col>5</xdr:col>
          <xdr:colOff>152400</xdr:colOff>
          <xdr:row>8</xdr:row>
          <xdr:rowOff>99060</xdr:rowOff>
        </xdr:to>
        <xdr:sp macro="" textlink="">
          <xdr:nvSpPr>
            <xdr:cNvPr id="32774" name="Check Box 6" hidden="1">
              <a:extLst>
                <a:ext uri="{63B3BB69-23CF-44E3-9099-C40C66FF867C}">
                  <a14:compatExt spid="_x0000_s32774"/>
                </a:ext>
                <a:ext uri="{FF2B5EF4-FFF2-40B4-BE49-F238E27FC236}">
                  <a16:creationId xmlns:a16="http://schemas.microsoft.com/office/drawing/2014/main" id="{D40E14CD-4F06-7FA8-345C-28FC5BBFB4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</xdr:colOff>
          <xdr:row>9</xdr:row>
          <xdr:rowOff>11430</xdr:rowOff>
        </xdr:from>
        <xdr:to>
          <xdr:col>5</xdr:col>
          <xdr:colOff>152400</xdr:colOff>
          <xdr:row>9</xdr:row>
          <xdr:rowOff>99060</xdr:rowOff>
        </xdr:to>
        <xdr:sp macro="" textlink="">
          <xdr:nvSpPr>
            <xdr:cNvPr id="32775" name="Check Box 7" hidden="1">
              <a:extLst>
                <a:ext uri="{63B3BB69-23CF-44E3-9099-C40C66FF867C}">
                  <a14:compatExt spid="_x0000_s32775"/>
                </a:ext>
                <a:ext uri="{FF2B5EF4-FFF2-40B4-BE49-F238E27FC236}">
                  <a16:creationId xmlns:a16="http://schemas.microsoft.com/office/drawing/2014/main" id="{4A3D8858-27E7-8E49-87EB-4535F2A5AB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</xdr:colOff>
          <xdr:row>10</xdr:row>
          <xdr:rowOff>11430</xdr:rowOff>
        </xdr:from>
        <xdr:to>
          <xdr:col>5</xdr:col>
          <xdr:colOff>152400</xdr:colOff>
          <xdr:row>10</xdr:row>
          <xdr:rowOff>99060</xdr:rowOff>
        </xdr:to>
        <xdr:sp macro="" textlink="">
          <xdr:nvSpPr>
            <xdr:cNvPr id="32776" name="Check Box 8" hidden="1">
              <a:extLst>
                <a:ext uri="{63B3BB69-23CF-44E3-9099-C40C66FF867C}">
                  <a14:compatExt spid="_x0000_s32776"/>
                </a:ext>
                <a:ext uri="{FF2B5EF4-FFF2-40B4-BE49-F238E27FC236}">
                  <a16:creationId xmlns:a16="http://schemas.microsoft.com/office/drawing/2014/main" id="{A0F7AF62-BC90-23A9-0F57-D8D645252D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</xdr:colOff>
          <xdr:row>11</xdr:row>
          <xdr:rowOff>11430</xdr:rowOff>
        </xdr:from>
        <xdr:to>
          <xdr:col>5</xdr:col>
          <xdr:colOff>152400</xdr:colOff>
          <xdr:row>11</xdr:row>
          <xdr:rowOff>99060</xdr:rowOff>
        </xdr:to>
        <xdr:sp macro="" textlink="">
          <xdr:nvSpPr>
            <xdr:cNvPr id="32777" name="Check Box 9" hidden="1">
              <a:extLst>
                <a:ext uri="{63B3BB69-23CF-44E3-9099-C40C66FF867C}">
                  <a14:compatExt spid="_x0000_s32777"/>
                </a:ext>
                <a:ext uri="{FF2B5EF4-FFF2-40B4-BE49-F238E27FC236}">
                  <a16:creationId xmlns:a16="http://schemas.microsoft.com/office/drawing/2014/main" id="{119C07B5-3D58-1312-0DA8-E2EEEB5460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</xdr:colOff>
          <xdr:row>12</xdr:row>
          <xdr:rowOff>11430</xdr:rowOff>
        </xdr:from>
        <xdr:to>
          <xdr:col>5</xdr:col>
          <xdr:colOff>152400</xdr:colOff>
          <xdr:row>12</xdr:row>
          <xdr:rowOff>99060</xdr:rowOff>
        </xdr:to>
        <xdr:sp macro="" textlink="">
          <xdr:nvSpPr>
            <xdr:cNvPr id="32778" name="Check Box 10" hidden="1">
              <a:extLst>
                <a:ext uri="{63B3BB69-23CF-44E3-9099-C40C66FF867C}">
                  <a14:compatExt spid="_x0000_s32778"/>
                </a:ext>
                <a:ext uri="{FF2B5EF4-FFF2-40B4-BE49-F238E27FC236}">
                  <a16:creationId xmlns:a16="http://schemas.microsoft.com/office/drawing/2014/main" id="{57C1999F-D4C5-8947-9679-95AB9AE03D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</xdr:colOff>
          <xdr:row>13</xdr:row>
          <xdr:rowOff>11430</xdr:rowOff>
        </xdr:from>
        <xdr:to>
          <xdr:col>5</xdr:col>
          <xdr:colOff>152400</xdr:colOff>
          <xdr:row>13</xdr:row>
          <xdr:rowOff>99060</xdr:rowOff>
        </xdr:to>
        <xdr:sp macro="" textlink="">
          <xdr:nvSpPr>
            <xdr:cNvPr id="32779" name="Check Box 11" hidden="1">
              <a:extLst>
                <a:ext uri="{63B3BB69-23CF-44E3-9099-C40C66FF867C}">
                  <a14:compatExt spid="_x0000_s32779"/>
                </a:ext>
                <a:ext uri="{FF2B5EF4-FFF2-40B4-BE49-F238E27FC236}">
                  <a16:creationId xmlns:a16="http://schemas.microsoft.com/office/drawing/2014/main" id="{E9CBF53C-06DB-8DD0-71B0-E4759D7928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</xdr:colOff>
          <xdr:row>14</xdr:row>
          <xdr:rowOff>11430</xdr:rowOff>
        </xdr:from>
        <xdr:to>
          <xdr:col>5</xdr:col>
          <xdr:colOff>152400</xdr:colOff>
          <xdr:row>14</xdr:row>
          <xdr:rowOff>99060</xdr:rowOff>
        </xdr:to>
        <xdr:sp macro="" textlink="">
          <xdr:nvSpPr>
            <xdr:cNvPr id="32780" name="Check Box 12" hidden="1">
              <a:extLst>
                <a:ext uri="{63B3BB69-23CF-44E3-9099-C40C66FF867C}">
                  <a14:compatExt spid="_x0000_s32780"/>
                </a:ext>
                <a:ext uri="{FF2B5EF4-FFF2-40B4-BE49-F238E27FC236}">
                  <a16:creationId xmlns:a16="http://schemas.microsoft.com/office/drawing/2014/main" id="{67B1EECC-2493-251E-D9FE-9CF5B4C19B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</xdr:colOff>
          <xdr:row>15</xdr:row>
          <xdr:rowOff>11430</xdr:rowOff>
        </xdr:from>
        <xdr:to>
          <xdr:col>5</xdr:col>
          <xdr:colOff>152400</xdr:colOff>
          <xdr:row>15</xdr:row>
          <xdr:rowOff>99060</xdr:rowOff>
        </xdr:to>
        <xdr:sp macro="" textlink="">
          <xdr:nvSpPr>
            <xdr:cNvPr id="32781" name="Check Box 13" hidden="1">
              <a:extLst>
                <a:ext uri="{63B3BB69-23CF-44E3-9099-C40C66FF867C}">
                  <a14:compatExt spid="_x0000_s32781"/>
                </a:ext>
                <a:ext uri="{FF2B5EF4-FFF2-40B4-BE49-F238E27FC236}">
                  <a16:creationId xmlns:a16="http://schemas.microsoft.com/office/drawing/2014/main" id="{5C6D0725-A657-0DB2-53B5-72D5F58DC1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</xdr:colOff>
          <xdr:row>16</xdr:row>
          <xdr:rowOff>11430</xdr:rowOff>
        </xdr:from>
        <xdr:to>
          <xdr:col>5</xdr:col>
          <xdr:colOff>152400</xdr:colOff>
          <xdr:row>16</xdr:row>
          <xdr:rowOff>99060</xdr:rowOff>
        </xdr:to>
        <xdr:sp macro="" textlink="">
          <xdr:nvSpPr>
            <xdr:cNvPr id="32782" name="Check Box 14" hidden="1">
              <a:extLst>
                <a:ext uri="{63B3BB69-23CF-44E3-9099-C40C66FF867C}">
                  <a14:compatExt spid="_x0000_s32782"/>
                </a:ext>
                <a:ext uri="{FF2B5EF4-FFF2-40B4-BE49-F238E27FC236}">
                  <a16:creationId xmlns:a16="http://schemas.microsoft.com/office/drawing/2014/main" id="{70F9FEE6-DD18-1E40-02C7-58A131259E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</xdr:colOff>
          <xdr:row>17</xdr:row>
          <xdr:rowOff>11430</xdr:rowOff>
        </xdr:from>
        <xdr:to>
          <xdr:col>5</xdr:col>
          <xdr:colOff>152400</xdr:colOff>
          <xdr:row>17</xdr:row>
          <xdr:rowOff>99060</xdr:rowOff>
        </xdr:to>
        <xdr:sp macro="" textlink="">
          <xdr:nvSpPr>
            <xdr:cNvPr id="32783" name="Check Box 15" hidden="1">
              <a:extLst>
                <a:ext uri="{63B3BB69-23CF-44E3-9099-C40C66FF867C}">
                  <a14:compatExt spid="_x0000_s32783"/>
                </a:ext>
                <a:ext uri="{FF2B5EF4-FFF2-40B4-BE49-F238E27FC236}">
                  <a16:creationId xmlns:a16="http://schemas.microsoft.com/office/drawing/2014/main" id="{92CDEC0C-CD6A-47E7-CBFA-C880B9664E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</xdr:colOff>
          <xdr:row>18</xdr:row>
          <xdr:rowOff>11430</xdr:rowOff>
        </xdr:from>
        <xdr:to>
          <xdr:col>5</xdr:col>
          <xdr:colOff>152400</xdr:colOff>
          <xdr:row>18</xdr:row>
          <xdr:rowOff>99060</xdr:rowOff>
        </xdr:to>
        <xdr:sp macro="" textlink="">
          <xdr:nvSpPr>
            <xdr:cNvPr id="32784" name="Check Box 16" hidden="1">
              <a:extLst>
                <a:ext uri="{63B3BB69-23CF-44E3-9099-C40C66FF867C}">
                  <a14:compatExt spid="_x0000_s32784"/>
                </a:ext>
                <a:ext uri="{FF2B5EF4-FFF2-40B4-BE49-F238E27FC236}">
                  <a16:creationId xmlns:a16="http://schemas.microsoft.com/office/drawing/2014/main" id="{8CAEDEA3-35D1-AFF4-5A8C-47664A1211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</xdr:colOff>
          <xdr:row>19</xdr:row>
          <xdr:rowOff>11430</xdr:rowOff>
        </xdr:from>
        <xdr:to>
          <xdr:col>5</xdr:col>
          <xdr:colOff>152400</xdr:colOff>
          <xdr:row>19</xdr:row>
          <xdr:rowOff>99060</xdr:rowOff>
        </xdr:to>
        <xdr:sp macro="" textlink="">
          <xdr:nvSpPr>
            <xdr:cNvPr id="32785" name="Check Box 17" hidden="1">
              <a:extLst>
                <a:ext uri="{63B3BB69-23CF-44E3-9099-C40C66FF867C}">
                  <a14:compatExt spid="_x0000_s32785"/>
                </a:ext>
                <a:ext uri="{FF2B5EF4-FFF2-40B4-BE49-F238E27FC236}">
                  <a16:creationId xmlns:a16="http://schemas.microsoft.com/office/drawing/2014/main" id="{52650826-037D-DD39-C4F6-037D8A846B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</xdr:colOff>
          <xdr:row>20</xdr:row>
          <xdr:rowOff>11430</xdr:rowOff>
        </xdr:from>
        <xdr:to>
          <xdr:col>5</xdr:col>
          <xdr:colOff>152400</xdr:colOff>
          <xdr:row>20</xdr:row>
          <xdr:rowOff>99060</xdr:rowOff>
        </xdr:to>
        <xdr:sp macro="" textlink="">
          <xdr:nvSpPr>
            <xdr:cNvPr id="32786" name="Check Box 18" hidden="1">
              <a:extLst>
                <a:ext uri="{63B3BB69-23CF-44E3-9099-C40C66FF867C}">
                  <a14:compatExt spid="_x0000_s32786"/>
                </a:ext>
                <a:ext uri="{FF2B5EF4-FFF2-40B4-BE49-F238E27FC236}">
                  <a16:creationId xmlns:a16="http://schemas.microsoft.com/office/drawing/2014/main" id="{D1BF29FB-F4FA-37FF-52D3-B4FE128AA1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</xdr:colOff>
          <xdr:row>21</xdr:row>
          <xdr:rowOff>11430</xdr:rowOff>
        </xdr:from>
        <xdr:to>
          <xdr:col>5</xdr:col>
          <xdr:colOff>152400</xdr:colOff>
          <xdr:row>21</xdr:row>
          <xdr:rowOff>99060</xdr:rowOff>
        </xdr:to>
        <xdr:sp macro="" textlink="">
          <xdr:nvSpPr>
            <xdr:cNvPr id="32787" name="Check Box 19" hidden="1">
              <a:extLst>
                <a:ext uri="{63B3BB69-23CF-44E3-9099-C40C66FF867C}">
                  <a14:compatExt spid="_x0000_s32787"/>
                </a:ext>
                <a:ext uri="{FF2B5EF4-FFF2-40B4-BE49-F238E27FC236}">
                  <a16:creationId xmlns:a16="http://schemas.microsoft.com/office/drawing/2014/main" id="{6ED2DD67-962F-A876-1037-0F6539B3CF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</xdr:colOff>
          <xdr:row>22</xdr:row>
          <xdr:rowOff>11430</xdr:rowOff>
        </xdr:from>
        <xdr:to>
          <xdr:col>5</xdr:col>
          <xdr:colOff>152400</xdr:colOff>
          <xdr:row>22</xdr:row>
          <xdr:rowOff>99060</xdr:rowOff>
        </xdr:to>
        <xdr:sp macro="" textlink="">
          <xdr:nvSpPr>
            <xdr:cNvPr id="32788" name="Check Box 20" hidden="1">
              <a:extLst>
                <a:ext uri="{63B3BB69-23CF-44E3-9099-C40C66FF867C}">
                  <a14:compatExt spid="_x0000_s32788"/>
                </a:ext>
                <a:ext uri="{FF2B5EF4-FFF2-40B4-BE49-F238E27FC236}">
                  <a16:creationId xmlns:a16="http://schemas.microsoft.com/office/drawing/2014/main" id="{0691C60D-8EE1-01D0-5770-99C28E0BEC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</xdr:colOff>
          <xdr:row>23</xdr:row>
          <xdr:rowOff>11430</xdr:rowOff>
        </xdr:from>
        <xdr:to>
          <xdr:col>5</xdr:col>
          <xdr:colOff>152400</xdr:colOff>
          <xdr:row>23</xdr:row>
          <xdr:rowOff>99060</xdr:rowOff>
        </xdr:to>
        <xdr:sp macro="" textlink="">
          <xdr:nvSpPr>
            <xdr:cNvPr id="32789" name="Check Box 21" hidden="1">
              <a:extLst>
                <a:ext uri="{63B3BB69-23CF-44E3-9099-C40C66FF867C}">
                  <a14:compatExt spid="_x0000_s32789"/>
                </a:ext>
                <a:ext uri="{FF2B5EF4-FFF2-40B4-BE49-F238E27FC236}">
                  <a16:creationId xmlns:a16="http://schemas.microsoft.com/office/drawing/2014/main" id="{69862E52-F20B-ECDA-F268-E41155E356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</xdr:colOff>
          <xdr:row>24</xdr:row>
          <xdr:rowOff>11430</xdr:rowOff>
        </xdr:from>
        <xdr:to>
          <xdr:col>5</xdr:col>
          <xdr:colOff>152400</xdr:colOff>
          <xdr:row>24</xdr:row>
          <xdr:rowOff>99060</xdr:rowOff>
        </xdr:to>
        <xdr:sp macro="" textlink="">
          <xdr:nvSpPr>
            <xdr:cNvPr id="32790" name="Check Box 22" hidden="1">
              <a:extLst>
                <a:ext uri="{63B3BB69-23CF-44E3-9099-C40C66FF867C}">
                  <a14:compatExt spid="_x0000_s32790"/>
                </a:ext>
                <a:ext uri="{FF2B5EF4-FFF2-40B4-BE49-F238E27FC236}">
                  <a16:creationId xmlns:a16="http://schemas.microsoft.com/office/drawing/2014/main" id="{2C0146DD-7C5A-E5D2-06FF-C08DF5BEE4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</xdr:colOff>
          <xdr:row>25</xdr:row>
          <xdr:rowOff>11430</xdr:rowOff>
        </xdr:from>
        <xdr:to>
          <xdr:col>5</xdr:col>
          <xdr:colOff>152400</xdr:colOff>
          <xdr:row>25</xdr:row>
          <xdr:rowOff>99060</xdr:rowOff>
        </xdr:to>
        <xdr:sp macro="" textlink="">
          <xdr:nvSpPr>
            <xdr:cNvPr id="32791" name="Check Box 23" hidden="1">
              <a:extLst>
                <a:ext uri="{63B3BB69-23CF-44E3-9099-C40C66FF867C}">
                  <a14:compatExt spid="_x0000_s32791"/>
                </a:ext>
                <a:ext uri="{FF2B5EF4-FFF2-40B4-BE49-F238E27FC236}">
                  <a16:creationId xmlns:a16="http://schemas.microsoft.com/office/drawing/2014/main" id="{80AA8358-6DFF-5D6B-041C-D8951853E5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</xdr:colOff>
          <xdr:row>26</xdr:row>
          <xdr:rowOff>11430</xdr:rowOff>
        </xdr:from>
        <xdr:to>
          <xdr:col>5</xdr:col>
          <xdr:colOff>152400</xdr:colOff>
          <xdr:row>26</xdr:row>
          <xdr:rowOff>99060</xdr:rowOff>
        </xdr:to>
        <xdr:sp macro="" textlink="">
          <xdr:nvSpPr>
            <xdr:cNvPr id="32792" name="Check Box 24" hidden="1">
              <a:extLst>
                <a:ext uri="{63B3BB69-23CF-44E3-9099-C40C66FF867C}">
                  <a14:compatExt spid="_x0000_s32792"/>
                </a:ext>
                <a:ext uri="{FF2B5EF4-FFF2-40B4-BE49-F238E27FC236}">
                  <a16:creationId xmlns:a16="http://schemas.microsoft.com/office/drawing/2014/main" id="{8B6778A1-3480-66C8-172E-1FC998B676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</xdr:colOff>
          <xdr:row>27</xdr:row>
          <xdr:rowOff>11430</xdr:rowOff>
        </xdr:from>
        <xdr:to>
          <xdr:col>5</xdr:col>
          <xdr:colOff>152400</xdr:colOff>
          <xdr:row>27</xdr:row>
          <xdr:rowOff>99060</xdr:rowOff>
        </xdr:to>
        <xdr:sp macro="" textlink="">
          <xdr:nvSpPr>
            <xdr:cNvPr id="32793" name="Check Box 25" hidden="1">
              <a:extLst>
                <a:ext uri="{63B3BB69-23CF-44E3-9099-C40C66FF867C}">
                  <a14:compatExt spid="_x0000_s32793"/>
                </a:ext>
                <a:ext uri="{FF2B5EF4-FFF2-40B4-BE49-F238E27FC236}">
                  <a16:creationId xmlns:a16="http://schemas.microsoft.com/office/drawing/2014/main" id="{4FB4944A-BFE7-35AF-619A-E539918F44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</xdr:colOff>
          <xdr:row>28</xdr:row>
          <xdr:rowOff>11430</xdr:rowOff>
        </xdr:from>
        <xdr:to>
          <xdr:col>5</xdr:col>
          <xdr:colOff>152400</xdr:colOff>
          <xdr:row>28</xdr:row>
          <xdr:rowOff>99060</xdr:rowOff>
        </xdr:to>
        <xdr:sp macro="" textlink="">
          <xdr:nvSpPr>
            <xdr:cNvPr id="32794" name="Check Box 26" hidden="1">
              <a:extLst>
                <a:ext uri="{63B3BB69-23CF-44E3-9099-C40C66FF867C}">
                  <a14:compatExt spid="_x0000_s32794"/>
                </a:ext>
                <a:ext uri="{FF2B5EF4-FFF2-40B4-BE49-F238E27FC236}">
                  <a16:creationId xmlns:a16="http://schemas.microsoft.com/office/drawing/2014/main" id="{CB199360-578E-1C44-6A19-AAC6834544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</xdr:colOff>
          <xdr:row>29</xdr:row>
          <xdr:rowOff>11430</xdr:rowOff>
        </xdr:from>
        <xdr:to>
          <xdr:col>5</xdr:col>
          <xdr:colOff>152400</xdr:colOff>
          <xdr:row>29</xdr:row>
          <xdr:rowOff>99060</xdr:rowOff>
        </xdr:to>
        <xdr:sp macro="" textlink="">
          <xdr:nvSpPr>
            <xdr:cNvPr id="32795" name="Check Box 27" hidden="1">
              <a:extLst>
                <a:ext uri="{63B3BB69-23CF-44E3-9099-C40C66FF867C}">
                  <a14:compatExt spid="_x0000_s32795"/>
                </a:ext>
                <a:ext uri="{FF2B5EF4-FFF2-40B4-BE49-F238E27FC236}">
                  <a16:creationId xmlns:a16="http://schemas.microsoft.com/office/drawing/2014/main" id="{AD36FADD-1578-D7F3-866F-4EC17F9132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</xdr:colOff>
          <xdr:row>30</xdr:row>
          <xdr:rowOff>11430</xdr:rowOff>
        </xdr:from>
        <xdr:to>
          <xdr:col>5</xdr:col>
          <xdr:colOff>152400</xdr:colOff>
          <xdr:row>30</xdr:row>
          <xdr:rowOff>99060</xdr:rowOff>
        </xdr:to>
        <xdr:sp macro="" textlink="">
          <xdr:nvSpPr>
            <xdr:cNvPr id="32796" name="Check Box 28" hidden="1">
              <a:extLst>
                <a:ext uri="{63B3BB69-23CF-44E3-9099-C40C66FF867C}">
                  <a14:compatExt spid="_x0000_s32796"/>
                </a:ext>
                <a:ext uri="{FF2B5EF4-FFF2-40B4-BE49-F238E27FC236}">
                  <a16:creationId xmlns:a16="http://schemas.microsoft.com/office/drawing/2014/main" id="{84585E6D-F966-030F-7350-157AAE9E79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</xdr:colOff>
          <xdr:row>31</xdr:row>
          <xdr:rowOff>11430</xdr:rowOff>
        </xdr:from>
        <xdr:to>
          <xdr:col>5</xdr:col>
          <xdr:colOff>152400</xdr:colOff>
          <xdr:row>31</xdr:row>
          <xdr:rowOff>99060</xdr:rowOff>
        </xdr:to>
        <xdr:sp macro="" textlink="">
          <xdr:nvSpPr>
            <xdr:cNvPr id="32797" name="Check Box 29" hidden="1">
              <a:extLst>
                <a:ext uri="{63B3BB69-23CF-44E3-9099-C40C66FF867C}">
                  <a14:compatExt spid="_x0000_s32797"/>
                </a:ext>
                <a:ext uri="{FF2B5EF4-FFF2-40B4-BE49-F238E27FC236}">
                  <a16:creationId xmlns:a16="http://schemas.microsoft.com/office/drawing/2014/main" id="{89903BF5-D4BC-65D3-F4E7-D80C0E470D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</xdr:colOff>
          <xdr:row>32</xdr:row>
          <xdr:rowOff>11430</xdr:rowOff>
        </xdr:from>
        <xdr:to>
          <xdr:col>5</xdr:col>
          <xdr:colOff>152400</xdr:colOff>
          <xdr:row>32</xdr:row>
          <xdr:rowOff>99060</xdr:rowOff>
        </xdr:to>
        <xdr:sp macro="" textlink="">
          <xdr:nvSpPr>
            <xdr:cNvPr id="32798" name="Check Box 30" hidden="1">
              <a:extLst>
                <a:ext uri="{63B3BB69-23CF-44E3-9099-C40C66FF867C}">
                  <a14:compatExt spid="_x0000_s32798"/>
                </a:ext>
                <a:ext uri="{FF2B5EF4-FFF2-40B4-BE49-F238E27FC236}">
                  <a16:creationId xmlns:a16="http://schemas.microsoft.com/office/drawing/2014/main" id="{AD54144A-B478-9EA1-0F70-2180198F0F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</xdr:colOff>
          <xdr:row>33</xdr:row>
          <xdr:rowOff>11430</xdr:rowOff>
        </xdr:from>
        <xdr:to>
          <xdr:col>5</xdr:col>
          <xdr:colOff>152400</xdr:colOff>
          <xdr:row>33</xdr:row>
          <xdr:rowOff>99060</xdr:rowOff>
        </xdr:to>
        <xdr:sp macro="" textlink="">
          <xdr:nvSpPr>
            <xdr:cNvPr id="32799" name="Check Box 31" hidden="1">
              <a:extLst>
                <a:ext uri="{63B3BB69-23CF-44E3-9099-C40C66FF867C}">
                  <a14:compatExt spid="_x0000_s32799"/>
                </a:ext>
                <a:ext uri="{FF2B5EF4-FFF2-40B4-BE49-F238E27FC236}">
                  <a16:creationId xmlns:a16="http://schemas.microsoft.com/office/drawing/2014/main" id="{D9D17FFB-ABA2-79FA-B80F-D005B35458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30480</xdr:colOff>
          <xdr:row>4</xdr:row>
          <xdr:rowOff>11430</xdr:rowOff>
        </xdr:from>
        <xdr:to>
          <xdr:col>14</xdr:col>
          <xdr:colOff>152400</xdr:colOff>
          <xdr:row>4</xdr:row>
          <xdr:rowOff>99060</xdr:rowOff>
        </xdr:to>
        <xdr:sp macro="" textlink="">
          <xdr:nvSpPr>
            <xdr:cNvPr id="32800" name="Check Box 32" hidden="1">
              <a:extLst>
                <a:ext uri="{63B3BB69-23CF-44E3-9099-C40C66FF867C}">
                  <a14:compatExt spid="_x0000_s32800"/>
                </a:ext>
                <a:ext uri="{FF2B5EF4-FFF2-40B4-BE49-F238E27FC236}">
                  <a16:creationId xmlns:a16="http://schemas.microsoft.com/office/drawing/2014/main" id="{42F562F9-F686-93BD-C3A7-6535D74800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30480</xdr:colOff>
          <xdr:row>5</xdr:row>
          <xdr:rowOff>11430</xdr:rowOff>
        </xdr:from>
        <xdr:to>
          <xdr:col>14</xdr:col>
          <xdr:colOff>152400</xdr:colOff>
          <xdr:row>5</xdr:row>
          <xdr:rowOff>99060</xdr:rowOff>
        </xdr:to>
        <xdr:sp macro="" textlink="">
          <xdr:nvSpPr>
            <xdr:cNvPr id="32801" name="Check Box 33" hidden="1">
              <a:extLst>
                <a:ext uri="{63B3BB69-23CF-44E3-9099-C40C66FF867C}">
                  <a14:compatExt spid="_x0000_s32801"/>
                </a:ext>
                <a:ext uri="{FF2B5EF4-FFF2-40B4-BE49-F238E27FC236}">
                  <a16:creationId xmlns:a16="http://schemas.microsoft.com/office/drawing/2014/main" id="{E40132EF-FD24-5D85-B68D-A1423F1615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30480</xdr:colOff>
          <xdr:row>6</xdr:row>
          <xdr:rowOff>11430</xdr:rowOff>
        </xdr:from>
        <xdr:to>
          <xdr:col>14</xdr:col>
          <xdr:colOff>152400</xdr:colOff>
          <xdr:row>6</xdr:row>
          <xdr:rowOff>99060</xdr:rowOff>
        </xdr:to>
        <xdr:sp macro="" textlink="">
          <xdr:nvSpPr>
            <xdr:cNvPr id="32802" name="Check Box 34" hidden="1">
              <a:extLst>
                <a:ext uri="{63B3BB69-23CF-44E3-9099-C40C66FF867C}">
                  <a14:compatExt spid="_x0000_s32802"/>
                </a:ext>
                <a:ext uri="{FF2B5EF4-FFF2-40B4-BE49-F238E27FC236}">
                  <a16:creationId xmlns:a16="http://schemas.microsoft.com/office/drawing/2014/main" id="{74DBDC45-9303-0877-5954-4789A6A78C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30480</xdr:colOff>
          <xdr:row>7</xdr:row>
          <xdr:rowOff>11430</xdr:rowOff>
        </xdr:from>
        <xdr:to>
          <xdr:col>14</xdr:col>
          <xdr:colOff>152400</xdr:colOff>
          <xdr:row>7</xdr:row>
          <xdr:rowOff>99060</xdr:rowOff>
        </xdr:to>
        <xdr:sp macro="" textlink="">
          <xdr:nvSpPr>
            <xdr:cNvPr id="32803" name="Check Box 35" hidden="1">
              <a:extLst>
                <a:ext uri="{63B3BB69-23CF-44E3-9099-C40C66FF867C}">
                  <a14:compatExt spid="_x0000_s32803"/>
                </a:ext>
                <a:ext uri="{FF2B5EF4-FFF2-40B4-BE49-F238E27FC236}">
                  <a16:creationId xmlns:a16="http://schemas.microsoft.com/office/drawing/2014/main" id="{85336AAF-37E5-4A3E-4B68-74BEC459D0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30480</xdr:colOff>
          <xdr:row>8</xdr:row>
          <xdr:rowOff>11430</xdr:rowOff>
        </xdr:from>
        <xdr:to>
          <xdr:col>14</xdr:col>
          <xdr:colOff>152400</xdr:colOff>
          <xdr:row>8</xdr:row>
          <xdr:rowOff>99060</xdr:rowOff>
        </xdr:to>
        <xdr:sp macro="" textlink="">
          <xdr:nvSpPr>
            <xdr:cNvPr id="32804" name="Check Box 36" hidden="1">
              <a:extLst>
                <a:ext uri="{63B3BB69-23CF-44E3-9099-C40C66FF867C}">
                  <a14:compatExt spid="_x0000_s32804"/>
                </a:ext>
                <a:ext uri="{FF2B5EF4-FFF2-40B4-BE49-F238E27FC236}">
                  <a16:creationId xmlns:a16="http://schemas.microsoft.com/office/drawing/2014/main" id="{17C84F60-6B76-0C0E-3D86-5752954E30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30480</xdr:colOff>
          <xdr:row>9</xdr:row>
          <xdr:rowOff>11430</xdr:rowOff>
        </xdr:from>
        <xdr:to>
          <xdr:col>14</xdr:col>
          <xdr:colOff>152400</xdr:colOff>
          <xdr:row>9</xdr:row>
          <xdr:rowOff>99060</xdr:rowOff>
        </xdr:to>
        <xdr:sp macro="" textlink="">
          <xdr:nvSpPr>
            <xdr:cNvPr id="32805" name="Check Box 37" hidden="1">
              <a:extLst>
                <a:ext uri="{63B3BB69-23CF-44E3-9099-C40C66FF867C}">
                  <a14:compatExt spid="_x0000_s32805"/>
                </a:ext>
                <a:ext uri="{FF2B5EF4-FFF2-40B4-BE49-F238E27FC236}">
                  <a16:creationId xmlns:a16="http://schemas.microsoft.com/office/drawing/2014/main" id="{6BF05EF1-FC26-1C0B-7099-1A8AEF068D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30480</xdr:colOff>
          <xdr:row>10</xdr:row>
          <xdr:rowOff>11430</xdr:rowOff>
        </xdr:from>
        <xdr:to>
          <xdr:col>14</xdr:col>
          <xdr:colOff>152400</xdr:colOff>
          <xdr:row>10</xdr:row>
          <xdr:rowOff>99060</xdr:rowOff>
        </xdr:to>
        <xdr:sp macro="" textlink="">
          <xdr:nvSpPr>
            <xdr:cNvPr id="32806" name="Check Box 38" hidden="1">
              <a:extLst>
                <a:ext uri="{63B3BB69-23CF-44E3-9099-C40C66FF867C}">
                  <a14:compatExt spid="_x0000_s32806"/>
                </a:ext>
                <a:ext uri="{FF2B5EF4-FFF2-40B4-BE49-F238E27FC236}">
                  <a16:creationId xmlns:a16="http://schemas.microsoft.com/office/drawing/2014/main" id="{A4B8056E-FB1F-0C54-4115-E1D187907D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30480</xdr:colOff>
          <xdr:row>11</xdr:row>
          <xdr:rowOff>11430</xdr:rowOff>
        </xdr:from>
        <xdr:to>
          <xdr:col>14</xdr:col>
          <xdr:colOff>152400</xdr:colOff>
          <xdr:row>11</xdr:row>
          <xdr:rowOff>99060</xdr:rowOff>
        </xdr:to>
        <xdr:sp macro="" textlink="">
          <xdr:nvSpPr>
            <xdr:cNvPr id="32807" name="Check Box 39" hidden="1">
              <a:extLst>
                <a:ext uri="{63B3BB69-23CF-44E3-9099-C40C66FF867C}">
                  <a14:compatExt spid="_x0000_s32807"/>
                </a:ext>
                <a:ext uri="{FF2B5EF4-FFF2-40B4-BE49-F238E27FC236}">
                  <a16:creationId xmlns:a16="http://schemas.microsoft.com/office/drawing/2014/main" id="{90D3D490-C30B-5103-91B1-10D44751DE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30480</xdr:colOff>
          <xdr:row>12</xdr:row>
          <xdr:rowOff>11430</xdr:rowOff>
        </xdr:from>
        <xdr:to>
          <xdr:col>14</xdr:col>
          <xdr:colOff>152400</xdr:colOff>
          <xdr:row>12</xdr:row>
          <xdr:rowOff>99060</xdr:rowOff>
        </xdr:to>
        <xdr:sp macro="" textlink="">
          <xdr:nvSpPr>
            <xdr:cNvPr id="32808" name="Check Box 40" hidden="1">
              <a:extLst>
                <a:ext uri="{63B3BB69-23CF-44E3-9099-C40C66FF867C}">
                  <a14:compatExt spid="_x0000_s32808"/>
                </a:ext>
                <a:ext uri="{FF2B5EF4-FFF2-40B4-BE49-F238E27FC236}">
                  <a16:creationId xmlns:a16="http://schemas.microsoft.com/office/drawing/2014/main" id="{A47DFAC2-2FC2-2289-1138-7DDFE543E4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30480</xdr:colOff>
          <xdr:row>13</xdr:row>
          <xdr:rowOff>11430</xdr:rowOff>
        </xdr:from>
        <xdr:to>
          <xdr:col>14</xdr:col>
          <xdr:colOff>152400</xdr:colOff>
          <xdr:row>13</xdr:row>
          <xdr:rowOff>99060</xdr:rowOff>
        </xdr:to>
        <xdr:sp macro="" textlink="">
          <xdr:nvSpPr>
            <xdr:cNvPr id="32809" name="Check Box 41" hidden="1">
              <a:extLst>
                <a:ext uri="{63B3BB69-23CF-44E3-9099-C40C66FF867C}">
                  <a14:compatExt spid="_x0000_s32809"/>
                </a:ext>
                <a:ext uri="{FF2B5EF4-FFF2-40B4-BE49-F238E27FC236}">
                  <a16:creationId xmlns:a16="http://schemas.microsoft.com/office/drawing/2014/main" id="{CAD7E6B0-E973-746D-B760-05B722F8C1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30480</xdr:colOff>
          <xdr:row>14</xdr:row>
          <xdr:rowOff>11430</xdr:rowOff>
        </xdr:from>
        <xdr:to>
          <xdr:col>14</xdr:col>
          <xdr:colOff>152400</xdr:colOff>
          <xdr:row>14</xdr:row>
          <xdr:rowOff>99060</xdr:rowOff>
        </xdr:to>
        <xdr:sp macro="" textlink="">
          <xdr:nvSpPr>
            <xdr:cNvPr id="32810" name="Check Box 42" hidden="1">
              <a:extLst>
                <a:ext uri="{63B3BB69-23CF-44E3-9099-C40C66FF867C}">
                  <a14:compatExt spid="_x0000_s32810"/>
                </a:ext>
                <a:ext uri="{FF2B5EF4-FFF2-40B4-BE49-F238E27FC236}">
                  <a16:creationId xmlns:a16="http://schemas.microsoft.com/office/drawing/2014/main" id="{D86545D0-5EF8-6003-7859-6392734586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30480</xdr:colOff>
          <xdr:row>15</xdr:row>
          <xdr:rowOff>11430</xdr:rowOff>
        </xdr:from>
        <xdr:to>
          <xdr:col>14</xdr:col>
          <xdr:colOff>152400</xdr:colOff>
          <xdr:row>15</xdr:row>
          <xdr:rowOff>99060</xdr:rowOff>
        </xdr:to>
        <xdr:sp macro="" textlink="">
          <xdr:nvSpPr>
            <xdr:cNvPr id="32811" name="Check Box 43" hidden="1">
              <a:extLst>
                <a:ext uri="{63B3BB69-23CF-44E3-9099-C40C66FF867C}">
                  <a14:compatExt spid="_x0000_s32811"/>
                </a:ext>
                <a:ext uri="{FF2B5EF4-FFF2-40B4-BE49-F238E27FC236}">
                  <a16:creationId xmlns:a16="http://schemas.microsoft.com/office/drawing/2014/main" id="{F3DA1E36-596A-4F9A-10D2-B3EAF42DD6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30480</xdr:colOff>
          <xdr:row>16</xdr:row>
          <xdr:rowOff>11430</xdr:rowOff>
        </xdr:from>
        <xdr:to>
          <xdr:col>14</xdr:col>
          <xdr:colOff>152400</xdr:colOff>
          <xdr:row>16</xdr:row>
          <xdr:rowOff>99060</xdr:rowOff>
        </xdr:to>
        <xdr:sp macro="" textlink="">
          <xdr:nvSpPr>
            <xdr:cNvPr id="32812" name="Check Box 44" hidden="1">
              <a:extLst>
                <a:ext uri="{63B3BB69-23CF-44E3-9099-C40C66FF867C}">
                  <a14:compatExt spid="_x0000_s32812"/>
                </a:ext>
                <a:ext uri="{FF2B5EF4-FFF2-40B4-BE49-F238E27FC236}">
                  <a16:creationId xmlns:a16="http://schemas.microsoft.com/office/drawing/2014/main" id="{0852A9B2-0DE5-AFC6-84D1-431350A108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30480</xdr:colOff>
          <xdr:row>17</xdr:row>
          <xdr:rowOff>11430</xdr:rowOff>
        </xdr:from>
        <xdr:to>
          <xdr:col>14</xdr:col>
          <xdr:colOff>152400</xdr:colOff>
          <xdr:row>17</xdr:row>
          <xdr:rowOff>99060</xdr:rowOff>
        </xdr:to>
        <xdr:sp macro="" textlink="">
          <xdr:nvSpPr>
            <xdr:cNvPr id="32813" name="Check Box 45" hidden="1">
              <a:extLst>
                <a:ext uri="{63B3BB69-23CF-44E3-9099-C40C66FF867C}">
                  <a14:compatExt spid="_x0000_s32813"/>
                </a:ext>
                <a:ext uri="{FF2B5EF4-FFF2-40B4-BE49-F238E27FC236}">
                  <a16:creationId xmlns:a16="http://schemas.microsoft.com/office/drawing/2014/main" id="{07A88841-0A50-E00C-DCCA-31986667CA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30480</xdr:colOff>
          <xdr:row>18</xdr:row>
          <xdr:rowOff>11430</xdr:rowOff>
        </xdr:from>
        <xdr:to>
          <xdr:col>14</xdr:col>
          <xdr:colOff>152400</xdr:colOff>
          <xdr:row>18</xdr:row>
          <xdr:rowOff>99060</xdr:rowOff>
        </xdr:to>
        <xdr:sp macro="" textlink="">
          <xdr:nvSpPr>
            <xdr:cNvPr id="32814" name="Check Box 46" hidden="1">
              <a:extLst>
                <a:ext uri="{63B3BB69-23CF-44E3-9099-C40C66FF867C}">
                  <a14:compatExt spid="_x0000_s32814"/>
                </a:ext>
                <a:ext uri="{FF2B5EF4-FFF2-40B4-BE49-F238E27FC236}">
                  <a16:creationId xmlns:a16="http://schemas.microsoft.com/office/drawing/2014/main" id="{AE364A22-5145-C405-7764-E36DAC4133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30480</xdr:colOff>
          <xdr:row>19</xdr:row>
          <xdr:rowOff>11430</xdr:rowOff>
        </xdr:from>
        <xdr:to>
          <xdr:col>14</xdr:col>
          <xdr:colOff>152400</xdr:colOff>
          <xdr:row>19</xdr:row>
          <xdr:rowOff>99060</xdr:rowOff>
        </xdr:to>
        <xdr:sp macro="" textlink="">
          <xdr:nvSpPr>
            <xdr:cNvPr id="32815" name="Check Box 47" hidden="1">
              <a:extLst>
                <a:ext uri="{63B3BB69-23CF-44E3-9099-C40C66FF867C}">
                  <a14:compatExt spid="_x0000_s32815"/>
                </a:ext>
                <a:ext uri="{FF2B5EF4-FFF2-40B4-BE49-F238E27FC236}">
                  <a16:creationId xmlns:a16="http://schemas.microsoft.com/office/drawing/2014/main" id="{1F2D0871-4627-73F3-6C41-4A7A79F7FD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30480</xdr:colOff>
          <xdr:row>20</xdr:row>
          <xdr:rowOff>11430</xdr:rowOff>
        </xdr:from>
        <xdr:to>
          <xdr:col>14</xdr:col>
          <xdr:colOff>152400</xdr:colOff>
          <xdr:row>20</xdr:row>
          <xdr:rowOff>99060</xdr:rowOff>
        </xdr:to>
        <xdr:sp macro="" textlink="">
          <xdr:nvSpPr>
            <xdr:cNvPr id="32816" name="Check Box 48" hidden="1">
              <a:extLst>
                <a:ext uri="{63B3BB69-23CF-44E3-9099-C40C66FF867C}">
                  <a14:compatExt spid="_x0000_s32816"/>
                </a:ext>
                <a:ext uri="{FF2B5EF4-FFF2-40B4-BE49-F238E27FC236}">
                  <a16:creationId xmlns:a16="http://schemas.microsoft.com/office/drawing/2014/main" id="{EBCE9DB6-41AB-8473-249C-68A78A1871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30480</xdr:colOff>
          <xdr:row>21</xdr:row>
          <xdr:rowOff>11430</xdr:rowOff>
        </xdr:from>
        <xdr:to>
          <xdr:col>14</xdr:col>
          <xdr:colOff>152400</xdr:colOff>
          <xdr:row>21</xdr:row>
          <xdr:rowOff>99060</xdr:rowOff>
        </xdr:to>
        <xdr:sp macro="" textlink="">
          <xdr:nvSpPr>
            <xdr:cNvPr id="32817" name="Check Box 49" hidden="1">
              <a:extLst>
                <a:ext uri="{63B3BB69-23CF-44E3-9099-C40C66FF867C}">
                  <a14:compatExt spid="_x0000_s32817"/>
                </a:ext>
                <a:ext uri="{FF2B5EF4-FFF2-40B4-BE49-F238E27FC236}">
                  <a16:creationId xmlns:a16="http://schemas.microsoft.com/office/drawing/2014/main" id="{1DF93608-BD46-6BE2-9706-4D06225B16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30480</xdr:colOff>
          <xdr:row>22</xdr:row>
          <xdr:rowOff>11430</xdr:rowOff>
        </xdr:from>
        <xdr:to>
          <xdr:col>14</xdr:col>
          <xdr:colOff>152400</xdr:colOff>
          <xdr:row>22</xdr:row>
          <xdr:rowOff>99060</xdr:rowOff>
        </xdr:to>
        <xdr:sp macro="" textlink="">
          <xdr:nvSpPr>
            <xdr:cNvPr id="32818" name="Check Box 50" hidden="1">
              <a:extLst>
                <a:ext uri="{63B3BB69-23CF-44E3-9099-C40C66FF867C}">
                  <a14:compatExt spid="_x0000_s32818"/>
                </a:ext>
                <a:ext uri="{FF2B5EF4-FFF2-40B4-BE49-F238E27FC236}">
                  <a16:creationId xmlns:a16="http://schemas.microsoft.com/office/drawing/2014/main" id="{937BDE5F-F4FE-29B5-044D-057220F06E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30480</xdr:colOff>
          <xdr:row>23</xdr:row>
          <xdr:rowOff>11430</xdr:rowOff>
        </xdr:from>
        <xdr:to>
          <xdr:col>14</xdr:col>
          <xdr:colOff>152400</xdr:colOff>
          <xdr:row>23</xdr:row>
          <xdr:rowOff>99060</xdr:rowOff>
        </xdr:to>
        <xdr:sp macro="" textlink="">
          <xdr:nvSpPr>
            <xdr:cNvPr id="32819" name="Check Box 51" hidden="1">
              <a:extLst>
                <a:ext uri="{63B3BB69-23CF-44E3-9099-C40C66FF867C}">
                  <a14:compatExt spid="_x0000_s32819"/>
                </a:ext>
                <a:ext uri="{FF2B5EF4-FFF2-40B4-BE49-F238E27FC236}">
                  <a16:creationId xmlns:a16="http://schemas.microsoft.com/office/drawing/2014/main" id="{9A519C56-545A-76E1-E0E7-DF7AB41F35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30480</xdr:colOff>
          <xdr:row>24</xdr:row>
          <xdr:rowOff>11430</xdr:rowOff>
        </xdr:from>
        <xdr:to>
          <xdr:col>14</xdr:col>
          <xdr:colOff>152400</xdr:colOff>
          <xdr:row>24</xdr:row>
          <xdr:rowOff>99060</xdr:rowOff>
        </xdr:to>
        <xdr:sp macro="" textlink="">
          <xdr:nvSpPr>
            <xdr:cNvPr id="32820" name="Check Box 52" hidden="1">
              <a:extLst>
                <a:ext uri="{63B3BB69-23CF-44E3-9099-C40C66FF867C}">
                  <a14:compatExt spid="_x0000_s32820"/>
                </a:ext>
                <a:ext uri="{FF2B5EF4-FFF2-40B4-BE49-F238E27FC236}">
                  <a16:creationId xmlns:a16="http://schemas.microsoft.com/office/drawing/2014/main" id="{47FC48A7-2762-1DB2-3A22-CBC6E0FC01F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30480</xdr:colOff>
          <xdr:row>25</xdr:row>
          <xdr:rowOff>11430</xdr:rowOff>
        </xdr:from>
        <xdr:to>
          <xdr:col>14</xdr:col>
          <xdr:colOff>152400</xdr:colOff>
          <xdr:row>25</xdr:row>
          <xdr:rowOff>99060</xdr:rowOff>
        </xdr:to>
        <xdr:sp macro="" textlink="">
          <xdr:nvSpPr>
            <xdr:cNvPr id="32821" name="Check Box 53" hidden="1">
              <a:extLst>
                <a:ext uri="{63B3BB69-23CF-44E3-9099-C40C66FF867C}">
                  <a14:compatExt spid="_x0000_s32821"/>
                </a:ext>
                <a:ext uri="{FF2B5EF4-FFF2-40B4-BE49-F238E27FC236}">
                  <a16:creationId xmlns:a16="http://schemas.microsoft.com/office/drawing/2014/main" id="{F9C958AF-ACB6-6872-AD0D-D5C9272714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30480</xdr:colOff>
          <xdr:row>26</xdr:row>
          <xdr:rowOff>11430</xdr:rowOff>
        </xdr:from>
        <xdr:to>
          <xdr:col>14</xdr:col>
          <xdr:colOff>152400</xdr:colOff>
          <xdr:row>26</xdr:row>
          <xdr:rowOff>99060</xdr:rowOff>
        </xdr:to>
        <xdr:sp macro="" textlink="">
          <xdr:nvSpPr>
            <xdr:cNvPr id="32822" name="Check Box 54" hidden="1">
              <a:extLst>
                <a:ext uri="{63B3BB69-23CF-44E3-9099-C40C66FF867C}">
                  <a14:compatExt spid="_x0000_s32822"/>
                </a:ext>
                <a:ext uri="{FF2B5EF4-FFF2-40B4-BE49-F238E27FC236}">
                  <a16:creationId xmlns:a16="http://schemas.microsoft.com/office/drawing/2014/main" id="{B6219AC6-0A85-713D-1C7E-EC670BDB88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30480</xdr:colOff>
          <xdr:row>27</xdr:row>
          <xdr:rowOff>11430</xdr:rowOff>
        </xdr:from>
        <xdr:to>
          <xdr:col>14</xdr:col>
          <xdr:colOff>152400</xdr:colOff>
          <xdr:row>27</xdr:row>
          <xdr:rowOff>99060</xdr:rowOff>
        </xdr:to>
        <xdr:sp macro="" textlink="">
          <xdr:nvSpPr>
            <xdr:cNvPr id="32823" name="Check Box 55" hidden="1">
              <a:extLst>
                <a:ext uri="{63B3BB69-23CF-44E3-9099-C40C66FF867C}">
                  <a14:compatExt spid="_x0000_s32823"/>
                </a:ext>
                <a:ext uri="{FF2B5EF4-FFF2-40B4-BE49-F238E27FC236}">
                  <a16:creationId xmlns:a16="http://schemas.microsoft.com/office/drawing/2014/main" id="{B8CCA3BB-F081-1595-5AD6-99AFA5D205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30480</xdr:colOff>
          <xdr:row>28</xdr:row>
          <xdr:rowOff>11430</xdr:rowOff>
        </xdr:from>
        <xdr:to>
          <xdr:col>14</xdr:col>
          <xdr:colOff>152400</xdr:colOff>
          <xdr:row>28</xdr:row>
          <xdr:rowOff>99060</xdr:rowOff>
        </xdr:to>
        <xdr:sp macro="" textlink="">
          <xdr:nvSpPr>
            <xdr:cNvPr id="32824" name="Check Box 56" hidden="1">
              <a:extLst>
                <a:ext uri="{63B3BB69-23CF-44E3-9099-C40C66FF867C}">
                  <a14:compatExt spid="_x0000_s32824"/>
                </a:ext>
                <a:ext uri="{FF2B5EF4-FFF2-40B4-BE49-F238E27FC236}">
                  <a16:creationId xmlns:a16="http://schemas.microsoft.com/office/drawing/2014/main" id="{955E00B6-D0A0-FDDE-E76F-E8207ABA82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30480</xdr:colOff>
          <xdr:row>29</xdr:row>
          <xdr:rowOff>11430</xdr:rowOff>
        </xdr:from>
        <xdr:to>
          <xdr:col>14</xdr:col>
          <xdr:colOff>152400</xdr:colOff>
          <xdr:row>29</xdr:row>
          <xdr:rowOff>99060</xdr:rowOff>
        </xdr:to>
        <xdr:sp macro="" textlink="">
          <xdr:nvSpPr>
            <xdr:cNvPr id="32825" name="Check Box 57" hidden="1">
              <a:extLst>
                <a:ext uri="{63B3BB69-23CF-44E3-9099-C40C66FF867C}">
                  <a14:compatExt spid="_x0000_s32825"/>
                </a:ext>
                <a:ext uri="{FF2B5EF4-FFF2-40B4-BE49-F238E27FC236}">
                  <a16:creationId xmlns:a16="http://schemas.microsoft.com/office/drawing/2014/main" id="{88FB345D-9FEA-2B02-A1EA-EEB71BFFBD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30480</xdr:colOff>
          <xdr:row>30</xdr:row>
          <xdr:rowOff>11430</xdr:rowOff>
        </xdr:from>
        <xdr:to>
          <xdr:col>14</xdr:col>
          <xdr:colOff>152400</xdr:colOff>
          <xdr:row>30</xdr:row>
          <xdr:rowOff>99060</xdr:rowOff>
        </xdr:to>
        <xdr:sp macro="" textlink="">
          <xdr:nvSpPr>
            <xdr:cNvPr id="32826" name="Check Box 58" hidden="1">
              <a:extLst>
                <a:ext uri="{63B3BB69-23CF-44E3-9099-C40C66FF867C}">
                  <a14:compatExt spid="_x0000_s32826"/>
                </a:ext>
                <a:ext uri="{FF2B5EF4-FFF2-40B4-BE49-F238E27FC236}">
                  <a16:creationId xmlns:a16="http://schemas.microsoft.com/office/drawing/2014/main" id="{28426075-1567-4134-B839-F789BFE8C2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30480</xdr:colOff>
          <xdr:row>31</xdr:row>
          <xdr:rowOff>11430</xdr:rowOff>
        </xdr:from>
        <xdr:to>
          <xdr:col>14</xdr:col>
          <xdr:colOff>152400</xdr:colOff>
          <xdr:row>31</xdr:row>
          <xdr:rowOff>99060</xdr:rowOff>
        </xdr:to>
        <xdr:sp macro="" textlink="">
          <xdr:nvSpPr>
            <xdr:cNvPr id="32827" name="Check Box 59" hidden="1">
              <a:extLst>
                <a:ext uri="{63B3BB69-23CF-44E3-9099-C40C66FF867C}">
                  <a14:compatExt spid="_x0000_s32827"/>
                </a:ext>
                <a:ext uri="{FF2B5EF4-FFF2-40B4-BE49-F238E27FC236}">
                  <a16:creationId xmlns:a16="http://schemas.microsoft.com/office/drawing/2014/main" id="{C228DD9F-AC89-305D-D131-28B7C2C960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30480</xdr:colOff>
          <xdr:row>32</xdr:row>
          <xdr:rowOff>11430</xdr:rowOff>
        </xdr:from>
        <xdr:to>
          <xdr:col>14</xdr:col>
          <xdr:colOff>152400</xdr:colOff>
          <xdr:row>32</xdr:row>
          <xdr:rowOff>99060</xdr:rowOff>
        </xdr:to>
        <xdr:sp macro="" textlink="">
          <xdr:nvSpPr>
            <xdr:cNvPr id="32828" name="Check Box 60" hidden="1">
              <a:extLst>
                <a:ext uri="{63B3BB69-23CF-44E3-9099-C40C66FF867C}">
                  <a14:compatExt spid="_x0000_s32828"/>
                </a:ext>
                <a:ext uri="{FF2B5EF4-FFF2-40B4-BE49-F238E27FC236}">
                  <a16:creationId xmlns:a16="http://schemas.microsoft.com/office/drawing/2014/main" id="{AE396A69-530A-FDE5-B29F-2E23346B0E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00" mc:Ignorable="a14" a14:legacySpreadsheetColorIndex="1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838200</xdr:colOff>
      <xdr:row>20</xdr:row>
      <xdr:rowOff>19050</xdr:rowOff>
    </xdr:from>
    <xdr:to>
      <xdr:col>4</xdr:col>
      <xdr:colOff>323849</xdr:colOff>
      <xdr:row>41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38100</xdr:rowOff>
        </xdr:from>
        <xdr:to>
          <xdr:col>4</xdr:col>
          <xdr:colOff>297180</xdr:colOff>
          <xdr:row>4</xdr:row>
          <xdr:rowOff>125730</xdr:rowOff>
        </xdr:to>
        <xdr:sp macro="" textlink="">
          <xdr:nvSpPr>
            <xdr:cNvPr id="33793" name="Drop Down 1" hidden="1">
              <a:extLst>
                <a:ext uri="{63B3BB69-23CF-44E3-9099-C40C66FF867C}">
                  <a14:compatExt spid="_x0000_s33793"/>
                </a:ext>
                <a:ext uri="{FF2B5EF4-FFF2-40B4-BE49-F238E27FC236}">
                  <a16:creationId xmlns:a16="http://schemas.microsoft.com/office/drawing/2014/main" id="{07F50B04-CFE9-A92D-88BC-681286CC30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5</xdr:row>
          <xdr:rowOff>38100</xdr:rowOff>
        </xdr:from>
        <xdr:to>
          <xdr:col>4</xdr:col>
          <xdr:colOff>297180</xdr:colOff>
          <xdr:row>5</xdr:row>
          <xdr:rowOff>125730</xdr:rowOff>
        </xdr:to>
        <xdr:sp macro="" textlink="">
          <xdr:nvSpPr>
            <xdr:cNvPr id="33794" name="Drop Down 2" hidden="1">
              <a:extLst>
                <a:ext uri="{63B3BB69-23CF-44E3-9099-C40C66FF867C}">
                  <a14:compatExt spid="_x0000_s33794"/>
                </a:ext>
                <a:ext uri="{FF2B5EF4-FFF2-40B4-BE49-F238E27FC236}">
                  <a16:creationId xmlns:a16="http://schemas.microsoft.com/office/drawing/2014/main" id="{AA573576-70F7-C4FD-A28D-FCF0322BE4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6</xdr:row>
          <xdr:rowOff>38100</xdr:rowOff>
        </xdr:from>
        <xdr:to>
          <xdr:col>4</xdr:col>
          <xdr:colOff>297180</xdr:colOff>
          <xdr:row>6</xdr:row>
          <xdr:rowOff>125730</xdr:rowOff>
        </xdr:to>
        <xdr:sp macro="" textlink="">
          <xdr:nvSpPr>
            <xdr:cNvPr id="33795" name="Drop Down 3" hidden="1">
              <a:extLst>
                <a:ext uri="{63B3BB69-23CF-44E3-9099-C40C66FF867C}">
                  <a14:compatExt spid="_x0000_s33795"/>
                </a:ext>
                <a:ext uri="{FF2B5EF4-FFF2-40B4-BE49-F238E27FC236}">
                  <a16:creationId xmlns:a16="http://schemas.microsoft.com/office/drawing/2014/main" id="{2A8CAE5F-8F29-6086-C7D8-09333F5508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7</xdr:row>
          <xdr:rowOff>38100</xdr:rowOff>
        </xdr:from>
        <xdr:to>
          <xdr:col>4</xdr:col>
          <xdr:colOff>297180</xdr:colOff>
          <xdr:row>7</xdr:row>
          <xdr:rowOff>125730</xdr:rowOff>
        </xdr:to>
        <xdr:sp macro="" textlink="">
          <xdr:nvSpPr>
            <xdr:cNvPr id="33796" name="Drop Down 4" hidden="1">
              <a:extLst>
                <a:ext uri="{63B3BB69-23CF-44E3-9099-C40C66FF867C}">
                  <a14:compatExt spid="_x0000_s33796"/>
                </a:ext>
                <a:ext uri="{FF2B5EF4-FFF2-40B4-BE49-F238E27FC236}">
                  <a16:creationId xmlns:a16="http://schemas.microsoft.com/office/drawing/2014/main" id="{AA7EC134-7FFB-9B21-E9E6-E914DCDCF0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8</xdr:row>
          <xdr:rowOff>38100</xdr:rowOff>
        </xdr:from>
        <xdr:to>
          <xdr:col>4</xdr:col>
          <xdr:colOff>297180</xdr:colOff>
          <xdr:row>8</xdr:row>
          <xdr:rowOff>125730</xdr:rowOff>
        </xdr:to>
        <xdr:sp macro="" textlink="">
          <xdr:nvSpPr>
            <xdr:cNvPr id="33797" name="Drop Down 5" hidden="1">
              <a:extLst>
                <a:ext uri="{63B3BB69-23CF-44E3-9099-C40C66FF867C}">
                  <a14:compatExt spid="_x0000_s33797"/>
                </a:ext>
                <a:ext uri="{FF2B5EF4-FFF2-40B4-BE49-F238E27FC236}">
                  <a16:creationId xmlns:a16="http://schemas.microsoft.com/office/drawing/2014/main" id="{A0E6D829-BA54-B392-9EE1-0B9DEF0876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9</xdr:row>
          <xdr:rowOff>38100</xdr:rowOff>
        </xdr:from>
        <xdr:to>
          <xdr:col>4</xdr:col>
          <xdr:colOff>297180</xdr:colOff>
          <xdr:row>9</xdr:row>
          <xdr:rowOff>125730</xdr:rowOff>
        </xdr:to>
        <xdr:sp macro="" textlink="">
          <xdr:nvSpPr>
            <xdr:cNvPr id="33798" name="Drop Down 6" hidden="1">
              <a:extLst>
                <a:ext uri="{63B3BB69-23CF-44E3-9099-C40C66FF867C}">
                  <a14:compatExt spid="_x0000_s33798"/>
                </a:ext>
                <a:ext uri="{FF2B5EF4-FFF2-40B4-BE49-F238E27FC236}">
                  <a16:creationId xmlns:a16="http://schemas.microsoft.com/office/drawing/2014/main" id="{174F565D-A80D-0991-BF7D-179947868C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10</xdr:row>
          <xdr:rowOff>38100</xdr:rowOff>
        </xdr:from>
        <xdr:to>
          <xdr:col>4</xdr:col>
          <xdr:colOff>297180</xdr:colOff>
          <xdr:row>10</xdr:row>
          <xdr:rowOff>125730</xdr:rowOff>
        </xdr:to>
        <xdr:sp macro="" textlink="">
          <xdr:nvSpPr>
            <xdr:cNvPr id="33799" name="Drop Down 7" hidden="1">
              <a:extLst>
                <a:ext uri="{63B3BB69-23CF-44E3-9099-C40C66FF867C}">
                  <a14:compatExt spid="_x0000_s33799"/>
                </a:ext>
                <a:ext uri="{FF2B5EF4-FFF2-40B4-BE49-F238E27FC236}">
                  <a16:creationId xmlns:a16="http://schemas.microsoft.com/office/drawing/2014/main" id="{75D54F82-9452-EC52-B88F-F3AD85D50F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11</xdr:row>
          <xdr:rowOff>38100</xdr:rowOff>
        </xdr:from>
        <xdr:to>
          <xdr:col>4</xdr:col>
          <xdr:colOff>297180</xdr:colOff>
          <xdr:row>11</xdr:row>
          <xdr:rowOff>125730</xdr:rowOff>
        </xdr:to>
        <xdr:sp macro="" textlink="">
          <xdr:nvSpPr>
            <xdr:cNvPr id="33800" name="Drop Down 8" hidden="1">
              <a:extLst>
                <a:ext uri="{63B3BB69-23CF-44E3-9099-C40C66FF867C}">
                  <a14:compatExt spid="_x0000_s33800"/>
                </a:ext>
                <a:ext uri="{FF2B5EF4-FFF2-40B4-BE49-F238E27FC236}">
                  <a16:creationId xmlns:a16="http://schemas.microsoft.com/office/drawing/2014/main" id="{37E7F82D-EF9A-855F-2CBF-02371F28FE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12</xdr:row>
          <xdr:rowOff>38100</xdr:rowOff>
        </xdr:from>
        <xdr:to>
          <xdr:col>4</xdr:col>
          <xdr:colOff>297180</xdr:colOff>
          <xdr:row>12</xdr:row>
          <xdr:rowOff>125730</xdr:rowOff>
        </xdr:to>
        <xdr:sp macro="" textlink="">
          <xdr:nvSpPr>
            <xdr:cNvPr id="33801" name="Drop Down 9" hidden="1">
              <a:extLst>
                <a:ext uri="{63B3BB69-23CF-44E3-9099-C40C66FF867C}">
                  <a14:compatExt spid="_x0000_s33801"/>
                </a:ext>
                <a:ext uri="{FF2B5EF4-FFF2-40B4-BE49-F238E27FC236}">
                  <a16:creationId xmlns:a16="http://schemas.microsoft.com/office/drawing/2014/main" id="{537F5C9C-9D52-75EB-5E0A-0B10316EA4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13</xdr:row>
          <xdr:rowOff>38100</xdr:rowOff>
        </xdr:from>
        <xdr:to>
          <xdr:col>4</xdr:col>
          <xdr:colOff>297180</xdr:colOff>
          <xdr:row>13</xdr:row>
          <xdr:rowOff>125730</xdr:rowOff>
        </xdr:to>
        <xdr:sp macro="" textlink="">
          <xdr:nvSpPr>
            <xdr:cNvPr id="33802" name="Drop Down 10" hidden="1">
              <a:extLst>
                <a:ext uri="{63B3BB69-23CF-44E3-9099-C40C66FF867C}">
                  <a14:compatExt spid="_x0000_s33802"/>
                </a:ext>
                <a:ext uri="{FF2B5EF4-FFF2-40B4-BE49-F238E27FC236}">
                  <a16:creationId xmlns:a16="http://schemas.microsoft.com/office/drawing/2014/main" id="{05B289BA-4618-63F7-34A3-FE69121669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14</xdr:row>
          <xdr:rowOff>38100</xdr:rowOff>
        </xdr:from>
        <xdr:to>
          <xdr:col>4</xdr:col>
          <xdr:colOff>297180</xdr:colOff>
          <xdr:row>14</xdr:row>
          <xdr:rowOff>125730</xdr:rowOff>
        </xdr:to>
        <xdr:sp macro="" textlink="">
          <xdr:nvSpPr>
            <xdr:cNvPr id="33803" name="Drop Down 11" hidden="1">
              <a:extLst>
                <a:ext uri="{63B3BB69-23CF-44E3-9099-C40C66FF867C}">
                  <a14:compatExt spid="_x0000_s33803"/>
                </a:ext>
                <a:ext uri="{FF2B5EF4-FFF2-40B4-BE49-F238E27FC236}">
                  <a16:creationId xmlns:a16="http://schemas.microsoft.com/office/drawing/2014/main" id="{9DFBB496-4CED-2CD4-C0DF-FB4F83D80E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15</xdr:row>
          <xdr:rowOff>38100</xdr:rowOff>
        </xdr:from>
        <xdr:to>
          <xdr:col>4</xdr:col>
          <xdr:colOff>297180</xdr:colOff>
          <xdr:row>15</xdr:row>
          <xdr:rowOff>125730</xdr:rowOff>
        </xdr:to>
        <xdr:sp macro="" textlink="">
          <xdr:nvSpPr>
            <xdr:cNvPr id="33804" name="Drop Down 12" hidden="1">
              <a:extLst>
                <a:ext uri="{63B3BB69-23CF-44E3-9099-C40C66FF867C}">
                  <a14:compatExt spid="_x0000_s33804"/>
                </a:ext>
                <a:ext uri="{FF2B5EF4-FFF2-40B4-BE49-F238E27FC236}">
                  <a16:creationId xmlns:a16="http://schemas.microsoft.com/office/drawing/2014/main" id="{5EC16C37-F553-F6DE-0E93-432650C6ED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16</xdr:row>
          <xdr:rowOff>38100</xdr:rowOff>
        </xdr:from>
        <xdr:to>
          <xdr:col>4</xdr:col>
          <xdr:colOff>297180</xdr:colOff>
          <xdr:row>16</xdr:row>
          <xdr:rowOff>125730</xdr:rowOff>
        </xdr:to>
        <xdr:sp macro="" textlink="">
          <xdr:nvSpPr>
            <xdr:cNvPr id="33805" name="Drop Down 13" hidden="1">
              <a:extLst>
                <a:ext uri="{63B3BB69-23CF-44E3-9099-C40C66FF867C}">
                  <a14:compatExt spid="_x0000_s33805"/>
                </a:ext>
                <a:ext uri="{FF2B5EF4-FFF2-40B4-BE49-F238E27FC236}">
                  <a16:creationId xmlns:a16="http://schemas.microsoft.com/office/drawing/2014/main" id="{CF705832-C04C-A25A-5AFD-7C9DFAD353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17</xdr:row>
          <xdr:rowOff>38100</xdr:rowOff>
        </xdr:from>
        <xdr:to>
          <xdr:col>4</xdr:col>
          <xdr:colOff>297180</xdr:colOff>
          <xdr:row>17</xdr:row>
          <xdr:rowOff>125730</xdr:rowOff>
        </xdr:to>
        <xdr:sp macro="" textlink="">
          <xdr:nvSpPr>
            <xdr:cNvPr id="33806" name="Drop Down 14" hidden="1">
              <a:extLst>
                <a:ext uri="{63B3BB69-23CF-44E3-9099-C40C66FF867C}">
                  <a14:compatExt spid="_x0000_s33806"/>
                </a:ext>
                <a:ext uri="{FF2B5EF4-FFF2-40B4-BE49-F238E27FC236}">
                  <a16:creationId xmlns:a16="http://schemas.microsoft.com/office/drawing/2014/main" id="{85B1982A-F48F-4689-5E5A-1A111464A5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18</xdr:row>
          <xdr:rowOff>38100</xdr:rowOff>
        </xdr:from>
        <xdr:to>
          <xdr:col>4</xdr:col>
          <xdr:colOff>297180</xdr:colOff>
          <xdr:row>18</xdr:row>
          <xdr:rowOff>125730</xdr:rowOff>
        </xdr:to>
        <xdr:sp macro="" textlink="">
          <xdr:nvSpPr>
            <xdr:cNvPr id="33807" name="Drop Down 15" hidden="1">
              <a:extLst>
                <a:ext uri="{63B3BB69-23CF-44E3-9099-C40C66FF867C}">
                  <a14:compatExt spid="_x0000_s33807"/>
                </a:ext>
                <a:ext uri="{FF2B5EF4-FFF2-40B4-BE49-F238E27FC236}">
                  <a16:creationId xmlns:a16="http://schemas.microsoft.com/office/drawing/2014/main" id="{E829217B-9C9A-0C2E-982F-56E5FDDB27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838200</xdr:colOff>
      <xdr:row>20</xdr:row>
      <xdr:rowOff>19050</xdr:rowOff>
    </xdr:from>
    <xdr:to>
      <xdr:col>4</xdr:col>
      <xdr:colOff>323849</xdr:colOff>
      <xdr:row>41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38100</xdr:rowOff>
        </xdr:from>
        <xdr:to>
          <xdr:col>4</xdr:col>
          <xdr:colOff>297180</xdr:colOff>
          <xdr:row>4</xdr:row>
          <xdr:rowOff>125730</xdr:rowOff>
        </xdr:to>
        <xdr:sp macro="" textlink="">
          <xdr:nvSpPr>
            <xdr:cNvPr id="34817" name="Drop Down 1" hidden="1">
              <a:extLst>
                <a:ext uri="{63B3BB69-23CF-44E3-9099-C40C66FF867C}">
                  <a14:compatExt spid="_x0000_s34817"/>
                </a:ext>
                <a:ext uri="{FF2B5EF4-FFF2-40B4-BE49-F238E27FC236}">
                  <a16:creationId xmlns:a16="http://schemas.microsoft.com/office/drawing/2014/main" id="{86607502-3650-DE41-0E83-A8C56108A7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5</xdr:row>
          <xdr:rowOff>38100</xdr:rowOff>
        </xdr:from>
        <xdr:to>
          <xdr:col>4</xdr:col>
          <xdr:colOff>297180</xdr:colOff>
          <xdr:row>5</xdr:row>
          <xdr:rowOff>125730</xdr:rowOff>
        </xdr:to>
        <xdr:sp macro="" textlink="">
          <xdr:nvSpPr>
            <xdr:cNvPr id="34818" name="Drop Down 2" hidden="1">
              <a:extLst>
                <a:ext uri="{63B3BB69-23CF-44E3-9099-C40C66FF867C}">
                  <a14:compatExt spid="_x0000_s34818"/>
                </a:ext>
                <a:ext uri="{FF2B5EF4-FFF2-40B4-BE49-F238E27FC236}">
                  <a16:creationId xmlns:a16="http://schemas.microsoft.com/office/drawing/2014/main" id="{4E524B1D-2C65-CD9C-DAC6-E23B11FD41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6</xdr:row>
          <xdr:rowOff>38100</xdr:rowOff>
        </xdr:from>
        <xdr:to>
          <xdr:col>4</xdr:col>
          <xdr:colOff>297180</xdr:colOff>
          <xdr:row>6</xdr:row>
          <xdr:rowOff>125730</xdr:rowOff>
        </xdr:to>
        <xdr:sp macro="" textlink="">
          <xdr:nvSpPr>
            <xdr:cNvPr id="34819" name="Drop Down 3" hidden="1">
              <a:extLst>
                <a:ext uri="{63B3BB69-23CF-44E3-9099-C40C66FF867C}">
                  <a14:compatExt spid="_x0000_s34819"/>
                </a:ext>
                <a:ext uri="{FF2B5EF4-FFF2-40B4-BE49-F238E27FC236}">
                  <a16:creationId xmlns:a16="http://schemas.microsoft.com/office/drawing/2014/main" id="{194A3A6E-0201-F435-ED56-BC2A510292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7</xdr:row>
          <xdr:rowOff>38100</xdr:rowOff>
        </xdr:from>
        <xdr:to>
          <xdr:col>4</xdr:col>
          <xdr:colOff>297180</xdr:colOff>
          <xdr:row>7</xdr:row>
          <xdr:rowOff>125730</xdr:rowOff>
        </xdr:to>
        <xdr:sp macro="" textlink="">
          <xdr:nvSpPr>
            <xdr:cNvPr id="34820" name="Drop Down 4" hidden="1">
              <a:extLst>
                <a:ext uri="{63B3BB69-23CF-44E3-9099-C40C66FF867C}">
                  <a14:compatExt spid="_x0000_s34820"/>
                </a:ext>
                <a:ext uri="{FF2B5EF4-FFF2-40B4-BE49-F238E27FC236}">
                  <a16:creationId xmlns:a16="http://schemas.microsoft.com/office/drawing/2014/main" id="{44B4FAD1-CEAC-9FB9-8098-2B3CC712D5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8</xdr:row>
          <xdr:rowOff>38100</xdr:rowOff>
        </xdr:from>
        <xdr:to>
          <xdr:col>4</xdr:col>
          <xdr:colOff>297180</xdr:colOff>
          <xdr:row>8</xdr:row>
          <xdr:rowOff>125730</xdr:rowOff>
        </xdr:to>
        <xdr:sp macro="" textlink="">
          <xdr:nvSpPr>
            <xdr:cNvPr id="34821" name="Drop Down 5" hidden="1">
              <a:extLst>
                <a:ext uri="{63B3BB69-23CF-44E3-9099-C40C66FF867C}">
                  <a14:compatExt spid="_x0000_s34821"/>
                </a:ext>
                <a:ext uri="{FF2B5EF4-FFF2-40B4-BE49-F238E27FC236}">
                  <a16:creationId xmlns:a16="http://schemas.microsoft.com/office/drawing/2014/main" id="{2A34D367-91D6-07AF-D887-6A893370D1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9</xdr:row>
          <xdr:rowOff>38100</xdr:rowOff>
        </xdr:from>
        <xdr:to>
          <xdr:col>4</xdr:col>
          <xdr:colOff>297180</xdr:colOff>
          <xdr:row>9</xdr:row>
          <xdr:rowOff>125730</xdr:rowOff>
        </xdr:to>
        <xdr:sp macro="" textlink="">
          <xdr:nvSpPr>
            <xdr:cNvPr id="34822" name="Drop Down 6" hidden="1">
              <a:extLst>
                <a:ext uri="{63B3BB69-23CF-44E3-9099-C40C66FF867C}">
                  <a14:compatExt spid="_x0000_s34822"/>
                </a:ext>
                <a:ext uri="{FF2B5EF4-FFF2-40B4-BE49-F238E27FC236}">
                  <a16:creationId xmlns:a16="http://schemas.microsoft.com/office/drawing/2014/main" id="{821C0CCF-91A9-20B4-F9E5-21B1420D1E3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10</xdr:row>
          <xdr:rowOff>38100</xdr:rowOff>
        </xdr:from>
        <xdr:to>
          <xdr:col>4</xdr:col>
          <xdr:colOff>297180</xdr:colOff>
          <xdr:row>10</xdr:row>
          <xdr:rowOff>125730</xdr:rowOff>
        </xdr:to>
        <xdr:sp macro="" textlink="">
          <xdr:nvSpPr>
            <xdr:cNvPr id="34823" name="Drop Down 7" hidden="1">
              <a:extLst>
                <a:ext uri="{63B3BB69-23CF-44E3-9099-C40C66FF867C}">
                  <a14:compatExt spid="_x0000_s34823"/>
                </a:ext>
                <a:ext uri="{FF2B5EF4-FFF2-40B4-BE49-F238E27FC236}">
                  <a16:creationId xmlns:a16="http://schemas.microsoft.com/office/drawing/2014/main" id="{5BC0E799-BA83-39CE-8855-49845A701B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11</xdr:row>
          <xdr:rowOff>38100</xdr:rowOff>
        </xdr:from>
        <xdr:to>
          <xdr:col>4</xdr:col>
          <xdr:colOff>297180</xdr:colOff>
          <xdr:row>11</xdr:row>
          <xdr:rowOff>125730</xdr:rowOff>
        </xdr:to>
        <xdr:sp macro="" textlink="">
          <xdr:nvSpPr>
            <xdr:cNvPr id="34824" name="Drop Down 8" hidden="1">
              <a:extLst>
                <a:ext uri="{63B3BB69-23CF-44E3-9099-C40C66FF867C}">
                  <a14:compatExt spid="_x0000_s34824"/>
                </a:ext>
                <a:ext uri="{FF2B5EF4-FFF2-40B4-BE49-F238E27FC236}">
                  <a16:creationId xmlns:a16="http://schemas.microsoft.com/office/drawing/2014/main" id="{895D1135-0693-2E6E-D70E-1B88231C0E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12</xdr:row>
          <xdr:rowOff>38100</xdr:rowOff>
        </xdr:from>
        <xdr:to>
          <xdr:col>4</xdr:col>
          <xdr:colOff>297180</xdr:colOff>
          <xdr:row>12</xdr:row>
          <xdr:rowOff>125730</xdr:rowOff>
        </xdr:to>
        <xdr:sp macro="" textlink="">
          <xdr:nvSpPr>
            <xdr:cNvPr id="34825" name="Drop Down 9" hidden="1">
              <a:extLst>
                <a:ext uri="{63B3BB69-23CF-44E3-9099-C40C66FF867C}">
                  <a14:compatExt spid="_x0000_s34825"/>
                </a:ext>
                <a:ext uri="{FF2B5EF4-FFF2-40B4-BE49-F238E27FC236}">
                  <a16:creationId xmlns:a16="http://schemas.microsoft.com/office/drawing/2014/main" id="{BE4793BA-2CB6-13E7-F399-DD79490886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13</xdr:row>
          <xdr:rowOff>38100</xdr:rowOff>
        </xdr:from>
        <xdr:to>
          <xdr:col>4</xdr:col>
          <xdr:colOff>297180</xdr:colOff>
          <xdr:row>13</xdr:row>
          <xdr:rowOff>125730</xdr:rowOff>
        </xdr:to>
        <xdr:sp macro="" textlink="">
          <xdr:nvSpPr>
            <xdr:cNvPr id="34826" name="Drop Down 10" hidden="1">
              <a:extLst>
                <a:ext uri="{63B3BB69-23CF-44E3-9099-C40C66FF867C}">
                  <a14:compatExt spid="_x0000_s34826"/>
                </a:ext>
                <a:ext uri="{FF2B5EF4-FFF2-40B4-BE49-F238E27FC236}">
                  <a16:creationId xmlns:a16="http://schemas.microsoft.com/office/drawing/2014/main" id="{C0D04727-DAB9-8A08-B68F-F23EC918D9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14</xdr:row>
          <xdr:rowOff>38100</xdr:rowOff>
        </xdr:from>
        <xdr:to>
          <xdr:col>4</xdr:col>
          <xdr:colOff>297180</xdr:colOff>
          <xdr:row>14</xdr:row>
          <xdr:rowOff>125730</xdr:rowOff>
        </xdr:to>
        <xdr:sp macro="" textlink="">
          <xdr:nvSpPr>
            <xdr:cNvPr id="34827" name="Drop Down 11" hidden="1">
              <a:extLst>
                <a:ext uri="{63B3BB69-23CF-44E3-9099-C40C66FF867C}">
                  <a14:compatExt spid="_x0000_s34827"/>
                </a:ext>
                <a:ext uri="{FF2B5EF4-FFF2-40B4-BE49-F238E27FC236}">
                  <a16:creationId xmlns:a16="http://schemas.microsoft.com/office/drawing/2014/main" id="{20F5F7A4-748A-5C78-3AE9-37FF01F260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15</xdr:row>
          <xdr:rowOff>38100</xdr:rowOff>
        </xdr:from>
        <xdr:to>
          <xdr:col>4</xdr:col>
          <xdr:colOff>297180</xdr:colOff>
          <xdr:row>15</xdr:row>
          <xdr:rowOff>125730</xdr:rowOff>
        </xdr:to>
        <xdr:sp macro="" textlink="">
          <xdr:nvSpPr>
            <xdr:cNvPr id="34828" name="Drop Down 12" hidden="1">
              <a:extLst>
                <a:ext uri="{63B3BB69-23CF-44E3-9099-C40C66FF867C}">
                  <a14:compatExt spid="_x0000_s34828"/>
                </a:ext>
                <a:ext uri="{FF2B5EF4-FFF2-40B4-BE49-F238E27FC236}">
                  <a16:creationId xmlns:a16="http://schemas.microsoft.com/office/drawing/2014/main" id="{CBC4941C-4D7A-1DA5-3F15-8CE75C630A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16</xdr:row>
          <xdr:rowOff>38100</xdr:rowOff>
        </xdr:from>
        <xdr:to>
          <xdr:col>4</xdr:col>
          <xdr:colOff>297180</xdr:colOff>
          <xdr:row>16</xdr:row>
          <xdr:rowOff>125730</xdr:rowOff>
        </xdr:to>
        <xdr:sp macro="" textlink="">
          <xdr:nvSpPr>
            <xdr:cNvPr id="34829" name="Drop Down 13" hidden="1">
              <a:extLst>
                <a:ext uri="{63B3BB69-23CF-44E3-9099-C40C66FF867C}">
                  <a14:compatExt spid="_x0000_s34829"/>
                </a:ext>
                <a:ext uri="{FF2B5EF4-FFF2-40B4-BE49-F238E27FC236}">
                  <a16:creationId xmlns:a16="http://schemas.microsoft.com/office/drawing/2014/main" id="{BC878E51-D081-0AF4-7EB5-3898060777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17</xdr:row>
          <xdr:rowOff>38100</xdr:rowOff>
        </xdr:from>
        <xdr:to>
          <xdr:col>4</xdr:col>
          <xdr:colOff>297180</xdr:colOff>
          <xdr:row>17</xdr:row>
          <xdr:rowOff>125730</xdr:rowOff>
        </xdr:to>
        <xdr:sp macro="" textlink="">
          <xdr:nvSpPr>
            <xdr:cNvPr id="34830" name="Drop Down 14" hidden="1">
              <a:extLst>
                <a:ext uri="{63B3BB69-23CF-44E3-9099-C40C66FF867C}">
                  <a14:compatExt spid="_x0000_s34830"/>
                </a:ext>
                <a:ext uri="{FF2B5EF4-FFF2-40B4-BE49-F238E27FC236}">
                  <a16:creationId xmlns:a16="http://schemas.microsoft.com/office/drawing/2014/main" id="{95E9AACB-6356-FF55-6383-AC1471632E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18</xdr:row>
          <xdr:rowOff>38100</xdr:rowOff>
        </xdr:from>
        <xdr:to>
          <xdr:col>4</xdr:col>
          <xdr:colOff>297180</xdr:colOff>
          <xdr:row>18</xdr:row>
          <xdr:rowOff>125730</xdr:rowOff>
        </xdr:to>
        <xdr:sp macro="" textlink="">
          <xdr:nvSpPr>
            <xdr:cNvPr id="34831" name="Drop Down 15" hidden="1">
              <a:extLst>
                <a:ext uri="{63B3BB69-23CF-44E3-9099-C40C66FF867C}">
                  <a14:compatExt spid="_x0000_s34831"/>
                </a:ext>
                <a:ext uri="{FF2B5EF4-FFF2-40B4-BE49-F238E27FC236}">
                  <a16:creationId xmlns:a16="http://schemas.microsoft.com/office/drawing/2014/main" id="{2AD15186-23BB-F7D9-1CF5-355F39693B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editares.org/manual-da-dupla-evolutiva.html" TargetMode="External"/><Relationship Id="rId1" Type="http://schemas.openxmlformats.org/officeDocument/2006/relationships/hyperlink" Target="http://www.tertuliaconscienciologia.org/index2.php?option=com_docman&amp;task=doc_view&amp;gid=1457&amp;Itemid=3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1.xml"/><Relationship Id="rId13" Type="http://schemas.openxmlformats.org/officeDocument/2006/relationships/ctrlProp" Target="../ctrlProps/ctrlProp36.xml"/><Relationship Id="rId18" Type="http://schemas.openxmlformats.org/officeDocument/2006/relationships/ctrlProp" Target="../ctrlProps/ctrlProp41.xml"/><Relationship Id="rId26" Type="http://schemas.openxmlformats.org/officeDocument/2006/relationships/ctrlProp" Target="../ctrlProps/ctrlProp49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44.xml"/><Relationship Id="rId7" Type="http://schemas.openxmlformats.org/officeDocument/2006/relationships/ctrlProp" Target="../ctrlProps/ctrlProp30.xml"/><Relationship Id="rId12" Type="http://schemas.openxmlformats.org/officeDocument/2006/relationships/ctrlProp" Target="../ctrlProps/ctrlProp35.xml"/><Relationship Id="rId17" Type="http://schemas.openxmlformats.org/officeDocument/2006/relationships/ctrlProp" Target="../ctrlProps/ctrlProp40.xml"/><Relationship Id="rId25" Type="http://schemas.openxmlformats.org/officeDocument/2006/relationships/ctrlProp" Target="../ctrlProps/ctrlProp48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39.xml"/><Relationship Id="rId20" Type="http://schemas.openxmlformats.org/officeDocument/2006/relationships/ctrlProp" Target="../ctrlProps/ctrlProp43.xml"/><Relationship Id="rId29" Type="http://schemas.openxmlformats.org/officeDocument/2006/relationships/ctrlProp" Target="../ctrlProps/ctrlProp52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29.xml"/><Relationship Id="rId11" Type="http://schemas.openxmlformats.org/officeDocument/2006/relationships/ctrlProp" Target="../ctrlProps/ctrlProp34.xml"/><Relationship Id="rId24" Type="http://schemas.openxmlformats.org/officeDocument/2006/relationships/ctrlProp" Target="../ctrlProps/ctrlProp47.xml"/><Relationship Id="rId5" Type="http://schemas.openxmlformats.org/officeDocument/2006/relationships/ctrlProp" Target="../ctrlProps/ctrlProp28.xml"/><Relationship Id="rId15" Type="http://schemas.openxmlformats.org/officeDocument/2006/relationships/ctrlProp" Target="../ctrlProps/ctrlProp38.xml"/><Relationship Id="rId23" Type="http://schemas.openxmlformats.org/officeDocument/2006/relationships/ctrlProp" Target="../ctrlProps/ctrlProp46.xml"/><Relationship Id="rId28" Type="http://schemas.openxmlformats.org/officeDocument/2006/relationships/ctrlProp" Target="../ctrlProps/ctrlProp51.xml"/><Relationship Id="rId10" Type="http://schemas.openxmlformats.org/officeDocument/2006/relationships/ctrlProp" Target="../ctrlProps/ctrlProp33.xml"/><Relationship Id="rId19" Type="http://schemas.openxmlformats.org/officeDocument/2006/relationships/ctrlProp" Target="../ctrlProps/ctrlProp42.xml"/><Relationship Id="rId4" Type="http://schemas.openxmlformats.org/officeDocument/2006/relationships/ctrlProp" Target="../ctrlProps/ctrlProp27.xml"/><Relationship Id="rId9" Type="http://schemas.openxmlformats.org/officeDocument/2006/relationships/ctrlProp" Target="../ctrlProps/ctrlProp32.xml"/><Relationship Id="rId14" Type="http://schemas.openxmlformats.org/officeDocument/2006/relationships/ctrlProp" Target="../ctrlProps/ctrlProp37.xml"/><Relationship Id="rId22" Type="http://schemas.openxmlformats.org/officeDocument/2006/relationships/ctrlProp" Target="../ctrlProps/ctrlProp45.xml"/><Relationship Id="rId27" Type="http://schemas.openxmlformats.org/officeDocument/2006/relationships/ctrlProp" Target="../ctrlProps/ctrlProp50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7.xml"/><Relationship Id="rId13" Type="http://schemas.openxmlformats.org/officeDocument/2006/relationships/ctrlProp" Target="../ctrlProps/ctrlProp62.xml"/><Relationship Id="rId18" Type="http://schemas.openxmlformats.org/officeDocument/2006/relationships/ctrlProp" Target="../ctrlProps/ctrlProp67.xml"/><Relationship Id="rId26" Type="http://schemas.openxmlformats.org/officeDocument/2006/relationships/ctrlProp" Target="../ctrlProps/ctrlProp75.xml"/><Relationship Id="rId3" Type="http://schemas.openxmlformats.org/officeDocument/2006/relationships/vmlDrawing" Target="../drawings/vmlDrawing5.vml"/><Relationship Id="rId21" Type="http://schemas.openxmlformats.org/officeDocument/2006/relationships/ctrlProp" Target="../ctrlProps/ctrlProp70.xml"/><Relationship Id="rId7" Type="http://schemas.openxmlformats.org/officeDocument/2006/relationships/ctrlProp" Target="../ctrlProps/ctrlProp56.xml"/><Relationship Id="rId12" Type="http://schemas.openxmlformats.org/officeDocument/2006/relationships/ctrlProp" Target="../ctrlProps/ctrlProp61.xml"/><Relationship Id="rId17" Type="http://schemas.openxmlformats.org/officeDocument/2006/relationships/ctrlProp" Target="../ctrlProps/ctrlProp66.xml"/><Relationship Id="rId25" Type="http://schemas.openxmlformats.org/officeDocument/2006/relationships/ctrlProp" Target="../ctrlProps/ctrlProp74.xml"/><Relationship Id="rId2" Type="http://schemas.openxmlformats.org/officeDocument/2006/relationships/drawing" Target="../drawings/drawing8.xml"/><Relationship Id="rId16" Type="http://schemas.openxmlformats.org/officeDocument/2006/relationships/ctrlProp" Target="../ctrlProps/ctrlProp65.xml"/><Relationship Id="rId20" Type="http://schemas.openxmlformats.org/officeDocument/2006/relationships/ctrlProp" Target="../ctrlProps/ctrlProp69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55.xml"/><Relationship Id="rId11" Type="http://schemas.openxmlformats.org/officeDocument/2006/relationships/ctrlProp" Target="../ctrlProps/ctrlProp60.xml"/><Relationship Id="rId24" Type="http://schemas.openxmlformats.org/officeDocument/2006/relationships/ctrlProp" Target="../ctrlProps/ctrlProp73.xml"/><Relationship Id="rId5" Type="http://schemas.openxmlformats.org/officeDocument/2006/relationships/ctrlProp" Target="../ctrlProps/ctrlProp54.xml"/><Relationship Id="rId15" Type="http://schemas.openxmlformats.org/officeDocument/2006/relationships/ctrlProp" Target="../ctrlProps/ctrlProp64.xml"/><Relationship Id="rId23" Type="http://schemas.openxmlformats.org/officeDocument/2006/relationships/ctrlProp" Target="../ctrlProps/ctrlProp72.xml"/><Relationship Id="rId28" Type="http://schemas.openxmlformats.org/officeDocument/2006/relationships/ctrlProp" Target="../ctrlProps/ctrlProp77.xml"/><Relationship Id="rId10" Type="http://schemas.openxmlformats.org/officeDocument/2006/relationships/ctrlProp" Target="../ctrlProps/ctrlProp59.xml"/><Relationship Id="rId19" Type="http://schemas.openxmlformats.org/officeDocument/2006/relationships/ctrlProp" Target="../ctrlProps/ctrlProp68.xml"/><Relationship Id="rId4" Type="http://schemas.openxmlformats.org/officeDocument/2006/relationships/ctrlProp" Target="../ctrlProps/ctrlProp53.xml"/><Relationship Id="rId9" Type="http://schemas.openxmlformats.org/officeDocument/2006/relationships/ctrlProp" Target="../ctrlProps/ctrlProp58.xml"/><Relationship Id="rId14" Type="http://schemas.openxmlformats.org/officeDocument/2006/relationships/ctrlProp" Target="../ctrlProps/ctrlProp63.xml"/><Relationship Id="rId22" Type="http://schemas.openxmlformats.org/officeDocument/2006/relationships/ctrlProp" Target="../ctrlProps/ctrlProp71.xml"/><Relationship Id="rId27" Type="http://schemas.openxmlformats.org/officeDocument/2006/relationships/ctrlProp" Target="../ctrlProps/ctrlProp76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82.xml"/><Relationship Id="rId13" Type="http://schemas.openxmlformats.org/officeDocument/2006/relationships/ctrlProp" Target="../ctrlProps/ctrlProp87.xml"/><Relationship Id="rId18" Type="http://schemas.openxmlformats.org/officeDocument/2006/relationships/ctrlProp" Target="../ctrlProps/ctrlProp92.xml"/><Relationship Id="rId26" Type="http://schemas.openxmlformats.org/officeDocument/2006/relationships/ctrlProp" Target="../ctrlProps/ctrlProp100.xml"/><Relationship Id="rId3" Type="http://schemas.openxmlformats.org/officeDocument/2006/relationships/vmlDrawing" Target="../drawings/vmlDrawing6.vml"/><Relationship Id="rId21" Type="http://schemas.openxmlformats.org/officeDocument/2006/relationships/ctrlProp" Target="../ctrlProps/ctrlProp95.xml"/><Relationship Id="rId7" Type="http://schemas.openxmlformats.org/officeDocument/2006/relationships/ctrlProp" Target="../ctrlProps/ctrlProp81.xml"/><Relationship Id="rId12" Type="http://schemas.openxmlformats.org/officeDocument/2006/relationships/ctrlProp" Target="../ctrlProps/ctrlProp86.xml"/><Relationship Id="rId17" Type="http://schemas.openxmlformats.org/officeDocument/2006/relationships/ctrlProp" Target="../ctrlProps/ctrlProp91.xml"/><Relationship Id="rId25" Type="http://schemas.openxmlformats.org/officeDocument/2006/relationships/ctrlProp" Target="../ctrlProps/ctrlProp99.xml"/><Relationship Id="rId2" Type="http://schemas.openxmlformats.org/officeDocument/2006/relationships/drawing" Target="../drawings/drawing9.xml"/><Relationship Id="rId16" Type="http://schemas.openxmlformats.org/officeDocument/2006/relationships/ctrlProp" Target="../ctrlProps/ctrlProp90.xml"/><Relationship Id="rId20" Type="http://schemas.openxmlformats.org/officeDocument/2006/relationships/ctrlProp" Target="../ctrlProps/ctrlProp94.xml"/><Relationship Id="rId1" Type="http://schemas.openxmlformats.org/officeDocument/2006/relationships/printerSettings" Target="../printerSettings/printerSettings10.bin"/><Relationship Id="rId6" Type="http://schemas.openxmlformats.org/officeDocument/2006/relationships/ctrlProp" Target="../ctrlProps/ctrlProp80.xml"/><Relationship Id="rId11" Type="http://schemas.openxmlformats.org/officeDocument/2006/relationships/ctrlProp" Target="../ctrlProps/ctrlProp85.xml"/><Relationship Id="rId24" Type="http://schemas.openxmlformats.org/officeDocument/2006/relationships/ctrlProp" Target="../ctrlProps/ctrlProp98.xml"/><Relationship Id="rId5" Type="http://schemas.openxmlformats.org/officeDocument/2006/relationships/ctrlProp" Target="../ctrlProps/ctrlProp79.xml"/><Relationship Id="rId15" Type="http://schemas.openxmlformats.org/officeDocument/2006/relationships/ctrlProp" Target="../ctrlProps/ctrlProp89.xml"/><Relationship Id="rId23" Type="http://schemas.openxmlformats.org/officeDocument/2006/relationships/ctrlProp" Target="../ctrlProps/ctrlProp97.xml"/><Relationship Id="rId28" Type="http://schemas.openxmlformats.org/officeDocument/2006/relationships/ctrlProp" Target="../ctrlProps/ctrlProp102.xml"/><Relationship Id="rId10" Type="http://schemas.openxmlformats.org/officeDocument/2006/relationships/ctrlProp" Target="../ctrlProps/ctrlProp84.xml"/><Relationship Id="rId19" Type="http://schemas.openxmlformats.org/officeDocument/2006/relationships/ctrlProp" Target="../ctrlProps/ctrlProp93.xml"/><Relationship Id="rId4" Type="http://schemas.openxmlformats.org/officeDocument/2006/relationships/ctrlProp" Target="../ctrlProps/ctrlProp78.xml"/><Relationship Id="rId9" Type="http://schemas.openxmlformats.org/officeDocument/2006/relationships/ctrlProp" Target="../ctrlProps/ctrlProp83.xml"/><Relationship Id="rId14" Type="http://schemas.openxmlformats.org/officeDocument/2006/relationships/ctrlProp" Target="../ctrlProps/ctrlProp88.xml"/><Relationship Id="rId22" Type="http://schemas.openxmlformats.org/officeDocument/2006/relationships/ctrlProp" Target="../ctrlProps/ctrlProp96.xml"/><Relationship Id="rId27" Type="http://schemas.openxmlformats.org/officeDocument/2006/relationships/ctrlProp" Target="../ctrlProps/ctrlProp10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07.xml"/><Relationship Id="rId13" Type="http://schemas.openxmlformats.org/officeDocument/2006/relationships/ctrlProp" Target="../ctrlProps/ctrlProp112.xml"/><Relationship Id="rId18" Type="http://schemas.openxmlformats.org/officeDocument/2006/relationships/ctrlProp" Target="../ctrlProps/ctrlProp117.xml"/><Relationship Id="rId3" Type="http://schemas.openxmlformats.org/officeDocument/2006/relationships/vmlDrawing" Target="../drawings/vmlDrawing7.vml"/><Relationship Id="rId7" Type="http://schemas.openxmlformats.org/officeDocument/2006/relationships/ctrlProp" Target="../ctrlProps/ctrlProp106.xml"/><Relationship Id="rId12" Type="http://schemas.openxmlformats.org/officeDocument/2006/relationships/ctrlProp" Target="../ctrlProps/ctrlProp111.xml"/><Relationship Id="rId17" Type="http://schemas.openxmlformats.org/officeDocument/2006/relationships/ctrlProp" Target="../ctrlProps/ctrlProp116.xml"/><Relationship Id="rId2" Type="http://schemas.openxmlformats.org/officeDocument/2006/relationships/drawing" Target="../drawings/drawing11.xml"/><Relationship Id="rId16" Type="http://schemas.openxmlformats.org/officeDocument/2006/relationships/ctrlProp" Target="../ctrlProps/ctrlProp115.xml"/><Relationship Id="rId1" Type="http://schemas.openxmlformats.org/officeDocument/2006/relationships/printerSettings" Target="../printerSettings/printerSettings12.bin"/><Relationship Id="rId6" Type="http://schemas.openxmlformats.org/officeDocument/2006/relationships/ctrlProp" Target="../ctrlProps/ctrlProp105.xml"/><Relationship Id="rId11" Type="http://schemas.openxmlformats.org/officeDocument/2006/relationships/ctrlProp" Target="../ctrlProps/ctrlProp110.xml"/><Relationship Id="rId5" Type="http://schemas.openxmlformats.org/officeDocument/2006/relationships/ctrlProp" Target="../ctrlProps/ctrlProp104.xml"/><Relationship Id="rId15" Type="http://schemas.openxmlformats.org/officeDocument/2006/relationships/ctrlProp" Target="../ctrlProps/ctrlProp114.xml"/><Relationship Id="rId10" Type="http://schemas.openxmlformats.org/officeDocument/2006/relationships/ctrlProp" Target="../ctrlProps/ctrlProp109.xml"/><Relationship Id="rId4" Type="http://schemas.openxmlformats.org/officeDocument/2006/relationships/ctrlProp" Target="../ctrlProps/ctrlProp103.xml"/><Relationship Id="rId9" Type="http://schemas.openxmlformats.org/officeDocument/2006/relationships/ctrlProp" Target="../ctrlProps/ctrlProp108.xml"/><Relationship Id="rId14" Type="http://schemas.openxmlformats.org/officeDocument/2006/relationships/ctrlProp" Target="../ctrlProps/ctrlProp113.xml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28.xml"/><Relationship Id="rId18" Type="http://schemas.openxmlformats.org/officeDocument/2006/relationships/ctrlProp" Target="../ctrlProps/ctrlProp133.xml"/><Relationship Id="rId26" Type="http://schemas.openxmlformats.org/officeDocument/2006/relationships/ctrlProp" Target="../ctrlProps/ctrlProp141.xml"/><Relationship Id="rId39" Type="http://schemas.openxmlformats.org/officeDocument/2006/relationships/ctrlProp" Target="../ctrlProps/ctrlProp154.xml"/><Relationship Id="rId21" Type="http://schemas.openxmlformats.org/officeDocument/2006/relationships/ctrlProp" Target="../ctrlProps/ctrlProp136.xml"/><Relationship Id="rId34" Type="http://schemas.openxmlformats.org/officeDocument/2006/relationships/ctrlProp" Target="../ctrlProps/ctrlProp149.xml"/><Relationship Id="rId42" Type="http://schemas.openxmlformats.org/officeDocument/2006/relationships/ctrlProp" Target="../ctrlProps/ctrlProp157.xml"/><Relationship Id="rId47" Type="http://schemas.openxmlformats.org/officeDocument/2006/relationships/ctrlProp" Target="../ctrlProps/ctrlProp162.xml"/><Relationship Id="rId50" Type="http://schemas.openxmlformats.org/officeDocument/2006/relationships/ctrlProp" Target="../ctrlProps/ctrlProp165.xml"/><Relationship Id="rId55" Type="http://schemas.openxmlformats.org/officeDocument/2006/relationships/ctrlProp" Target="../ctrlProps/ctrlProp170.xml"/><Relationship Id="rId7" Type="http://schemas.openxmlformats.org/officeDocument/2006/relationships/ctrlProp" Target="../ctrlProps/ctrlProp122.xml"/><Relationship Id="rId2" Type="http://schemas.openxmlformats.org/officeDocument/2006/relationships/vmlDrawing" Target="../drawings/vmlDrawing8.vml"/><Relationship Id="rId16" Type="http://schemas.openxmlformats.org/officeDocument/2006/relationships/ctrlProp" Target="../ctrlProps/ctrlProp131.xml"/><Relationship Id="rId29" Type="http://schemas.openxmlformats.org/officeDocument/2006/relationships/ctrlProp" Target="../ctrlProps/ctrlProp144.xml"/><Relationship Id="rId11" Type="http://schemas.openxmlformats.org/officeDocument/2006/relationships/ctrlProp" Target="../ctrlProps/ctrlProp126.xml"/><Relationship Id="rId24" Type="http://schemas.openxmlformats.org/officeDocument/2006/relationships/ctrlProp" Target="../ctrlProps/ctrlProp139.xml"/><Relationship Id="rId32" Type="http://schemas.openxmlformats.org/officeDocument/2006/relationships/ctrlProp" Target="../ctrlProps/ctrlProp147.xml"/><Relationship Id="rId37" Type="http://schemas.openxmlformats.org/officeDocument/2006/relationships/ctrlProp" Target="../ctrlProps/ctrlProp152.xml"/><Relationship Id="rId40" Type="http://schemas.openxmlformats.org/officeDocument/2006/relationships/ctrlProp" Target="../ctrlProps/ctrlProp155.xml"/><Relationship Id="rId45" Type="http://schemas.openxmlformats.org/officeDocument/2006/relationships/ctrlProp" Target="../ctrlProps/ctrlProp160.xml"/><Relationship Id="rId53" Type="http://schemas.openxmlformats.org/officeDocument/2006/relationships/ctrlProp" Target="../ctrlProps/ctrlProp168.xml"/><Relationship Id="rId58" Type="http://schemas.openxmlformats.org/officeDocument/2006/relationships/ctrlProp" Target="../ctrlProps/ctrlProp173.xml"/><Relationship Id="rId5" Type="http://schemas.openxmlformats.org/officeDocument/2006/relationships/ctrlProp" Target="../ctrlProps/ctrlProp120.xml"/><Relationship Id="rId61" Type="http://schemas.openxmlformats.org/officeDocument/2006/relationships/ctrlProp" Target="../ctrlProps/ctrlProp176.xml"/><Relationship Id="rId19" Type="http://schemas.openxmlformats.org/officeDocument/2006/relationships/ctrlProp" Target="../ctrlProps/ctrlProp134.xml"/><Relationship Id="rId14" Type="http://schemas.openxmlformats.org/officeDocument/2006/relationships/ctrlProp" Target="../ctrlProps/ctrlProp129.xml"/><Relationship Id="rId22" Type="http://schemas.openxmlformats.org/officeDocument/2006/relationships/ctrlProp" Target="../ctrlProps/ctrlProp137.xml"/><Relationship Id="rId27" Type="http://schemas.openxmlformats.org/officeDocument/2006/relationships/ctrlProp" Target="../ctrlProps/ctrlProp142.xml"/><Relationship Id="rId30" Type="http://schemas.openxmlformats.org/officeDocument/2006/relationships/ctrlProp" Target="../ctrlProps/ctrlProp145.xml"/><Relationship Id="rId35" Type="http://schemas.openxmlformats.org/officeDocument/2006/relationships/ctrlProp" Target="../ctrlProps/ctrlProp150.xml"/><Relationship Id="rId43" Type="http://schemas.openxmlformats.org/officeDocument/2006/relationships/ctrlProp" Target="../ctrlProps/ctrlProp158.xml"/><Relationship Id="rId48" Type="http://schemas.openxmlformats.org/officeDocument/2006/relationships/ctrlProp" Target="../ctrlProps/ctrlProp163.xml"/><Relationship Id="rId56" Type="http://schemas.openxmlformats.org/officeDocument/2006/relationships/ctrlProp" Target="../ctrlProps/ctrlProp171.xml"/><Relationship Id="rId8" Type="http://schemas.openxmlformats.org/officeDocument/2006/relationships/ctrlProp" Target="../ctrlProps/ctrlProp123.xml"/><Relationship Id="rId51" Type="http://schemas.openxmlformats.org/officeDocument/2006/relationships/ctrlProp" Target="../ctrlProps/ctrlProp166.xml"/><Relationship Id="rId3" Type="http://schemas.openxmlformats.org/officeDocument/2006/relationships/ctrlProp" Target="../ctrlProps/ctrlProp118.xml"/><Relationship Id="rId12" Type="http://schemas.openxmlformats.org/officeDocument/2006/relationships/ctrlProp" Target="../ctrlProps/ctrlProp127.xml"/><Relationship Id="rId17" Type="http://schemas.openxmlformats.org/officeDocument/2006/relationships/ctrlProp" Target="../ctrlProps/ctrlProp132.xml"/><Relationship Id="rId25" Type="http://schemas.openxmlformats.org/officeDocument/2006/relationships/ctrlProp" Target="../ctrlProps/ctrlProp140.xml"/><Relationship Id="rId33" Type="http://schemas.openxmlformats.org/officeDocument/2006/relationships/ctrlProp" Target="../ctrlProps/ctrlProp148.xml"/><Relationship Id="rId38" Type="http://schemas.openxmlformats.org/officeDocument/2006/relationships/ctrlProp" Target="../ctrlProps/ctrlProp153.xml"/><Relationship Id="rId46" Type="http://schemas.openxmlformats.org/officeDocument/2006/relationships/ctrlProp" Target="../ctrlProps/ctrlProp161.xml"/><Relationship Id="rId59" Type="http://schemas.openxmlformats.org/officeDocument/2006/relationships/ctrlProp" Target="../ctrlProps/ctrlProp174.xml"/><Relationship Id="rId20" Type="http://schemas.openxmlformats.org/officeDocument/2006/relationships/ctrlProp" Target="../ctrlProps/ctrlProp135.xml"/><Relationship Id="rId41" Type="http://schemas.openxmlformats.org/officeDocument/2006/relationships/ctrlProp" Target="../ctrlProps/ctrlProp156.xml"/><Relationship Id="rId54" Type="http://schemas.openxmlformats.org/officeDocument/2006/relationships/ctrlProp" Target="../ctrlProps/ctrlProp169.xml"/><Relationship Id="rId1" Type="http://schemas.openxmlformats.org/officeDocument/2006/relationships/drawing" Target="../drawings/drawing12.xml"/><Relationship Id="rId6" Type="http://schemas.openxmlformats.org/officeDocument/2006/relationships/ctrlProp" Target="../ctrlProps/ctrlProp121.xml"/><Relationship Id="rId15" Type="http://schemas.openxmlformats.org/officeDocument/2006/relationships/ctrlProp" Target="../ctrlProps/ctrlProp130.xml"/><Relationship Id="rId23" Type="http://schemas.openxmlformats.org/officeDocument/2006/relationships/ctrlProp" Target="../ctrlProps/ctrlProp138.xml"/><Relationship Id="rId28" Type="http://schemas.openxmlformats.org/officeDocument/2006/relationships/ctrlProp" Target="../ctrlProps/ctrlProp143.xml"/><Relationship Id="rId36" Type="http://schemas.openxmlformats.org/officeDocument/2006/relationships/ctrlProp" Target="../ctrlProps/ctrlProp151.xml"/><Relationship Id="rId49" Type="http://schemas.openxmlformats.org/officeDocument/2006/relationships/ctrlProp" Target="../ctrlProps/ctrlProp164.xml"/><Relationship Id="rId57" Type="http://schemas.openxmlformats.org/officeDocument/2006/relationships/ctrlProp" Target="../ctrlProps/ctrlProp172.xml"/><Relationship Id="rId10" Type="http://schemas.openxmlformats.org/officeDocument/2006/relationships/ctrlProp" Target="../ctrlProps/ctrlProp125.xml"/><Relationship Id="rId31" Type="http://schemas.openxmlformats.org/officeDocument/2006/relationships/ctrlProp" Target="../ctrlProps/ctrlProp146.xml"/><Relationship Id="rId44" Type="http://schemas.openxmlformats.org/officeDocument/2006/relationships/ctrlProp" Target="../ctrlProps/ctrlProp159.xml"/><Relationship Id="rId52" Type="http://schemas.openxmlformats.org/officeDocument/2006/relationships/ctrlProp" Target="../ctrlProps/ctrlProp167.xml"/><Relationship Id="rId60" Type="http://schemas.openxmlformats.org/officeDocument/2006/relationships/ctrlProp" Target="../ctrlProps/ctrlProp175.xml"/><Relationship Id="rId4" Type="http://schemas.openxmlformats.org/officeDocument/2006/relationships/ctrlProp" Target="../ctrlProps/ctrlProp119.xml"/><Relationship Id="rId9" Type="http://schemas.openxmlformats.org/officeDocument/2006/relationships/ctrlProp" Target="../ctrlProps/ctrlProp124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81.xml"/><Relationship Id="rId13" Type="http://schemas.openxmlformats.org/officeDocument/2006/relationships/ctrlProp" Target="../ctrlProps/ctrlProp186.xml"/><Relationship Id="rId18" Type="http://schemas.openxmlformats.org/officeDocument/2006/relationships/ctrlProp" Target="../ctrlProps/ctrlProp191.xml"/><Relationship Id="rId3" Type="http://schemas.openxmlformats.org/officeDocument/2006/relationships/vmlDrawing" Target="../drawings/vmlDrawing9.vml"/><Relationship Id="rId7" Type="http://schemas.openxmlformats.org/officeDocument/2006/relationships/ctrlProp" Target="../ctrlProps/ctrlProp180.xml"/><Relationship Id="rId12" Type="http://schemas.openxmlformats.org/officeDocument/2006/relationships/ctrlProp" Target="../ctrlProps/ctrlProp185.xml"/><Relationship Id="rId17" Type="http://schemas.openxmlformats.org/officeDocument/2006/relationships/ctrlProp" Target="../ctrlProps/ctrlProp190.xml"/><Relationship Id="rId2" Type="http://schemas.openxmlformats.org/officeDocument/2006/relationships/drawing" Target="../drawings/drawing13.xml"/><Relationship Id="rId16" Type="http://schemas.openxmlformats.org/officeDocument/2006/relationships/ctrlProp" Target="../ctrlProps/ctrlProp189.xml"/><Relationship Id="rId1" Type="http://schemas.openxmlformats.org/officeDocument/2006/relationships/printerSettings" Target="../printerSettings/printerSettings13.bin"/><Relationship Id="rId6" Type="http://schemas.openxmlformats.org/officeDocument/2006/relationships/ctrlProp" Target="../ctrlProps/ctrlProp179.xml"/><Relationship Id="rId11" Type="http://schemas.openxmlformats.org/officeDocument/2006/relationships/ctrlProp" Target="../ctrlProps/ctrlProp184.xml"/><Relationship Id="rId5" Type="http://schemas.openxmlformats.org/officeDocument/2006/relationships/ctrlProp" Target="../ctrlProps/ctrlProp178.xml"/><Relationship Id="rId15" Type="http://schemas.openxmlformats.org/officeDocument/2006/relationships/ctrlProp" Target="../ctrlProps/ctrlProp188.xml"/><Relationship Id="rId10" Type="http://schemas.openxmlformats.org/officeDocument/2006/relationships/ctrlProp" Target="../ctrlProps/ctrlProp183.xml"/><Relationship Id="rId4" Type="http://schemas.openxmlformats.org/officeDocument/2006/relationships/ctrlProp" Target="../ctrlProps/ctrlProp177.xml"/><Relationship Id="rId9" Type="http://schemas.openxmlformats.org/officeDocument/2006/relationships/ctrlProp" Target="../ctrlProps/ctrlProp182.xml"/><Relationship Id="rId14" Type="http://schemas.openxmlformats.org/officeDocument/2006/relationships/ctrlProp" Target="../ctrlProps/ctrlProp187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96.xml"/><Relationship Id="rId13" Type="http://schemas.openxmlformats.org/officeDocument/2006/relationships/ctrlProp" Target="../ctrlProps/ctrlProp201.xml"/><Relationship Id="rId18" Type="http://schemas.openxmlformats.org/officeDocument/2006/relationships/ctrlProp" Target="../ctrlProps/ctrlProp206.xml"/><Relationship Id="rId3" Type="http://schemas.openxmlformats.org/officeDocument/2006/relationships/vmlDrawing" Target="../drawings/vmlDrawing10.vml"/><Relationship Id="rId7" Type="http://schemas.openxmlformats.org/officeDocument/2006/relationships/ctrlProp" Target="../ctrlProps/ctrlProp195.xml"/><Relationship Id="rId12" Type="http://schemas.openxmlformats.org/officeDocument/2006/relationships/ctrlProp" Target="../ctrlProps/ctrlProp200.xml"/><Relationship Id="rId17" Type="http://schemas.openxmlformats.org/officeDocument/2006/relationships/ctrlProp" Target="../ctrlProps/ctrlProp205.xml"/><Relationship Id="rId2" Type="http://schemas.openxmlformats.org/officeDocument/2006/relationships/drawing" Target="../drawings/drawing14.xml"/><Relationship Id="rId16" Type="http://schemas.openxmlformats.org/officeDocument/2006/relationships/ctrlProp" Target="../ctrlProps/ctrlProp204.xml"/><Relationship Id="rId1" Type="http://schemas.openxmlformats.org/officeDocument/2006/relationships/printerSettings" Target="../printerSettings/printerSettings14.bin"/><Relationship Id="rId6" Type="http://schemas.openxmlformats.org/officeDocument/2006/relationships/ctrlProp" Target="../ctrlProps/ctrlProp194.xml"/><Relationship Id="rId11" Type="http://schemas.openxmlformats.org/officeDocument/2006/relationships/ctrlProp" Target="../ctrlProps/ctrlProp199.xml"/><Relationship Id="rId5" Type="http://schemas.openxmlformats.org/officeDocument/2006/relationships/ctrlProp" Target="../ctrlProps/ctrlProp193.xml"/><Relationship Id="rId15" Type="http://schemas.openxmlformats.org/officeDocument/2006/relationships/ctrlProp" Target="../ctrlProps/ctrlProp203.xml"/><Relationship Id="rId10" Type="http://schemas.openxmlformats.org/officeDocument/2006/relationships/ctrlProp" Target="../ctrlProps/ctrlProp198.xml"/><Relationship Id="rId4" Type="http://schemas.openxmlformats.org/officeDocument/2006/relationships/ctrlProp" Target="../ctrlProps/ctrlProp192.xml"/><Relationship Id="rId9" Type="http://schemas.openxmlformats.org/officeDocument/2006/relationships/ctrlProp" Target="../ctrlProps/ctrlProp197.xml"/><Relationship Id="rId14" Type="http://schemas.openxmlformats.org/officeDocument/2006/relationships/ctrlProp" Target="../ctrlProps/ctrlProp202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showGridLines="0" workbookViewId="0">
      <selection activeCell="B25" sqref="B25"/>
    </sheetView>
  </sheetViews>
  <sheetFormatPr defaultRowHeight="12.3" x14ac:dyDescent="0.4"/>
  <cols>
    <col min="1" max="1" width="18.83203125" customWidth="1"/>
    <col min="2" max="2" width="55.27734375" customWidth="1"/>
  </cols>
  <sheetData>
    <row r="1" spans="1:8" ht="17.7" x14ac:dyDescent="0.4">
      <c r="A1" s="216" t="s">
        <v>531</v>
      </c>
      <c r="B1" s="216"/>
      <c r="C1" s="216"/>
      <c r="D1" s="216"/>
      <c r="E1" s="216"/>
      <c r="F1" s="216"/>
      <c r="G1" s="216"/>
      <c r="H1" s="216"/>
    </row>
    <row r="3" spans="1:8" x14ac:dyDescent="0.4">
      <c r="A3" s="104" t="s">
        <v>538</v>
      </c>
    </row>
    <row r="4" spans="1:8" x14ac:dyDescent="0.4">
      <c r="A4" s="104" t="s">
        <v>532</v>
      </c>
    </row>
    <row r="5" spans="1:8" ht="12.6" x14ac:dyDescent="0.45">
      <c r="A5" s="109" t="s">
        <v>533</v>
      </c>
      <c r="B5" s="206" t="s">
        <v>536</v>
      </c>
    </row>
    <row r="6" spans="1:8" ht="12.6" x14ac:dyDescent="0.45">
      <c r="A6" s="109" t="s">
        <v>534</v>
      </c>
      <c r="B6" s="207" t="s">
        <v>535</v>
      </c>
    </row>
    <row r="7" spans="1:8" ht="30" customHeight="1" x14ac:dyDescent="0.4">
      <c r="A7" s="217" t="s">
        <v>537</v>
      </c>
      <c r="B7" s="217"/>
      <c r="C7" s="217"/>
      <c r="D7" s="217"/>
      <c r="E7" s="217"/>
      <c r="F7" s="217"/>
      <c r="G7" s="217"/>
      <c r="H7" s="217"/>
    </row>
    <row r="8" spans="1:8" ht="18" customHeight="1" x14ac:dyDescent="0.4">
      <c r="A8" s="5" t="s">
        <v>198</v>
      </c>
    </row>
    <row r="9" spans="1:8" ht="15" customHeight="1" x14ac:dyDescent="0.4">
      <c r="A9" s="5" t="s">
        <v>199</v>
      </c>
    </row>
    <row r="10" spans="1:8" ht="28.5" customHeight="1" x14ac:dyDescent="0.4">
      <c r="A10" s="217" t="s">
        <v>200</v>
      </c>
      <c r="B10" s="217"/>
      <c r="C10" s="217"/>
      <c r="D10" s="217"/>
      <c r="E10" s="217"/>
      <c r="F10" s="217"/>
      <c r="G10" s="217"/>
      <c r="H10" s="217"/>
    </row>
    <row r="11" spans="1:8" ht="32.25" customHeight="1" x14ac:dyDescent="0.4">
      <c r="A11" s="217" t="s">
        <v>201</v>
      </c>
      <c r="B11" s="217"/>
      <c r="C11" s="217"/>
      <c r="D11" s="217"/>
      <c r="E11" s="217"/>
      <c r="F11" s="217"/>
      <c r="G11" s="217"/>
      <c r="H11" s="217"/>
    </row>
  </sheetData>
  <sheetProtection password="CFC0" sheet="1" objects="1" scenarios="1"/>
  <mergeCells count="4">
    <mergeCell ref="A1:H1"/>
    <mergeCell ref="A7:H7"/>
    <mergeCell ref="A10:H10"/>
    <mergeCell ref="A11:H11"/>
  </mergeCells>
  <hyperlinks>
    <hyperlink ref="B5" r:id="rId1" display="2. A planilha foi elaborada a partir do verbete RAIZ DO TEMPERAMENTO da Enciclopédia da Conscienciologia." xr:uid="{00000000-0004-0000-0000-000000000000}"/>
    <hyperlink ref="B6" r:id="rId2" xr:uid="{00000000-0004-0000-0000-000001000000}"/>
  </hyperlinks>
  <pageMargins left="0.511811024" right="0.511811024" top="0.78740157499999996" bottom="0.78740157499999996" header="0.31496062000000002" footer="0.31496062000000002"/>
  <pageSetup paperSize="9" orientation="portrait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89"/>
  <sheetViews>
    <sheetView showGridLines="0" workbookViewId="0">
      <pane ySplit="3" topLeftCell="A38" activePane="bottomLeft" state="frozen"/>
      <selection pane="bottomLeft" activeCell="C9" sqref="C9"/>
    </sheetView>
  </sheetViews>
  <sheetFormatPr defaultRowHeight="12.3" x14ac:dyDescent="0.4"/>
  <cols>
    <col min="1" max="1" width="7.1640625" customWidth="1"/>
    <col min="2" max="2" width="37.5546875" customWidth="1"/>
    <col min="3" max="3" width="58.83203125" customWidth="1"/>
    <col min="4" max="4" width="36.1640625" customWidth="1"/>
    <col min="6" max="6" width="30.83203125" style="3" hidden="1" customWidth="1"/>
    <col min="7" max="7" width="9.1640625" style="35" hidden="1" customWidth="1"/>
    <col min="10" max="10" width="22.5546875" customWidth="1"/>
  </cols>
  <sheetData>
    <row r="1" spans="1:10" ht="17.7" x14ac:dyDescent="0.6">
      <c r="A1" s="231" t="s">
        <v>475</v>
      </c>
      <c r="B1" s="231"/>
      <c r="C1" s="231"/>
      <c r="D1" s="231"/>
    </row>
    <row r="2" spans="1:10" ht="6.75" customHeight="1" x14ac:dyDescent="0.4"/>
    <row r="3" spans="1:10" s="2" customFormat="1" ht="12.6" thickBot="1" x14ac:dyDescent="0.45">
      <c r="A3" s="13" t="s">
        <v>0</v>
      </c>
      <c r="B3" s="13" t="s">
        <v>3</v>
      </c>
      <c r="C3" s="13" t="s">
        <v>4</v>
      </c>
      <c r="D3" s="13" t="s">
        <v>8</v>
      </c>
      <c r="F3" s="4" t="s">
        <v>7</v>
      </c>
      <c r="G3" s="36">
        <v>1</v>
      </c>
      <c r="J3" s="6"/>
    </row>
    <row r="4" spans="1:10" s="2" customFormat="1" ht="6.75" customHeight="1" thickTop="1" x14ac:dyDescent="0.4">
      <c r="A4" s="10"/>
      <c r="B4" s="10"/>
      <c r="C4" s="10"/>
      <c r="D4" s="10"/>
      <c r="F4" s="4" t="s">
        <v>1</v>
      </c>
      <c r="G4" s="36"/>
      <c r="J4" s="6"/>
    </row>
    <row r="5" spans="1:10" x14ac:dyDescent="0.4">
      <c r="A5" s="230" t="s">
        <v>60</v>
      </c>
      <c r="B5" s="8" t="s">
        <v>5</v>
      </c>
      <c r="C5" s="44"/>
      <c r="D5" s="229"/>
      <c r="F5" s="4" t="s">
        <v>2</v>
      </c>
    </row>
    <row r="6" spans="1:10" x14ac:dyDescent="0.4">
      <c r="A6" s="230"/>
      <c r="B6" s="8" t="s">
        <v>6</v>
      </c>
      <c r="C6" s="44"/>
      <c r="D6" s="229"/>
    </row>
    <row r="7" spans="1:10" ht="6" customHeight="1" x14ac:dyDescent="0.4">
      <c r="A7" s="230"/>
      <c r="B7" s="7"/>
      <c r="C7" s="46"/>
      <c r="D7" s="19"/>
      <c r="F7" s="4"/>
    </row>
    <row r="8" spans="1:10" x14ac:dyDescent="0.4">
      <c r="A8" s="230"/>
      <c r="B8" s="8" t="s">
        <v>12</v>
      </c>
      <c r="C8" s="45"/>
      <c r="D8" s="229"/>
      <c r="F8" s="4" t="s">
        <v>7</v>
      </c>
      <c r="G8" s="35">
        <v>1</v>
      </c>
    </row>
    <row r="9" spans="1:10" x14ac:dyDescent="0.4">
      <c r="A9" s="230"/>
      <c r="B9" s="8" t="s">
        <v>13</v>
      </c>
      <c r="C9" s="45"/>
      <c r="D9" s="229"/>
      <c r="F9" s="4" t="s">
        <v>9</v>
      </c>
    </row>
    <row r="10" spans="1:10" ht="6" customHeight="1" x14ac:dyDescent="0.4">
      <c r="A10" s="230"/>
      <c r="B10" s="11"/>
      <c r="C10" s="47"/>
      <c r="D10" s="17"/>
      <c r="F10" s="4" t="s">
        <v>10</v>
      </c>
    </row>
    <row r="11" spans="1:10" x14ac:dyDescent="0.4">
      <c r="A11" s="230"/>
      <c r="B11" s="8" t="s">
        <v>14</v>
      </c>
      <c r="C11" s="44"/>
      <c r="D11" s="229"/>
      <c r="F11" s="4" t="s">
        <v>7</v>
      </c>
      <c r="G11" s="35">
        <v>1</v>
      </c>
    </row>
    <row r="12" spans="1:10" x14ac:dyDescent="0.4">
      <c r="A12" s="230"/>
      <c r="B12" s="8" t="s">
        <v>15</v>
      </c>
      <c r="C12" s="45"/>
      <c r="D12" s="229"/>
      <c r="F12" s="4" t="s">
        <v>208</v>
      </c>
    </row>
    <row r="13" spans="1:10" ht="6" customHeight="1" x14ac:dyDescent="0.4">
      <c r="A13" s="230"/>
      <c r="B13" s="12"/>
      <c r="C13" s="47"/>
      <c r="D13" s="17"/>
      <c r="F13" s="4" t="s">
        <v>11</v>
      </c>
    </row>
    <row r="14" spans="1:10" x14ac:dyDescent="0.4">
      <c r="A14" s="230"/>
      <c r="B14" s="8" t="s">
        <v>20</v>
      </c>
      <c r="C14" s="45"/>
      <c r="D14" s="229"/>
      <c r="F14" s="4" t="s">
        <v>7</v>
      </c>
      <c r="G14" s="35">
        <v>1</v>
      </c>
    </row>
    <row r="15" spans="1:10" x14ac:dyDescent="0.4">
      <c r="A15" s="230"/>
      <c r="B15" s="8" t="s">
        <v>19</v>
      </c>
      <c r="C15" s="45"/>
      <c r="D15" s="229"/>
      <c r="F15" s="37" t="s">
        <v>17</v>
      </c>
    </row>
    <row r="16" spans="1:10" ht="6" customHeight="1" x14ac:dyDescent="0.4">
      <c r="A16" s="230"/>
      <c r="B16" s="12"/>
      <c r="C16" s="47"/>
      <c r="D16" s="17"/>
      <c r="F16" s="37" t="s">
        <v>18</v>
      </c>
    </row>
    <row r="17" spans="1:7" x14ac:dyDescent="0.4">
      <c r="A17" s="230"/>
      <c r="B17" s="8" t="s">
        <v>21</v>
      </c>
      <c r="C17" s="45"/>
      <c r="D17" s="229"/>
      <c r="F17" s="4" t="s">
        <v>7</v>
      </c>
      <c r="G17" s="35">
        <v>1</v>
      </c>
    </row>
    <row r="18" spans="1:7" x14ac:dyDescent="0.4">
      <c r="A18" s="230"/>
      <c r="B18" s="8" t="s">
        <v>22</v>
      </c>
      <c r="C18" s="44"/>
      <c r="D18" s="229"/>
      <c r="F18" s="37" t="s">
        <v>21</v>
      </c>
    </row>
    <row r="19" spans="1:7" ht="5.25" customHeight="1" x14ac:dyDescent="0.4">
      <c r="A19" s="230"/>
      <c r="B19" s="12"/>
      <c r="C19" s="47"/>
      <c r="D19" s="17"/>
      <c r="F19" s="37" t="s">
        <v>22</v>
      </c>
    </row>
    <row r="20" spans="1:7" x14ac:dyDescent="0.4">
      <c r="A20" s="230"/>
      <c r="B20" s="8" t="s">
        <v>23</v>
      </c>
      <c r="C20" s="45"/>
      <c r="D20" s="229"/>
      <c r="F20" s="4" t="s">
        <v>7</v>
      </c>
      <c r="G20" s="35">
        <v>1</v>
      </c>
    </row>
    <row r="21" spans="1:7" x14ac:dyDescent="0.4">
      <c r="A21" s="230"/>
      <c r="B21" s="8" t="s">
        <v>24</v>
      </c>
      <c r="C21" s="45"/>
      <c r="D21" s="229"/>
      <c r="F21" s="37" t="s">
        <v>23</v>
      </c>
    </row>
    <row r="22" spans="1:7" x14ac:dyDescent="0.4">
      <c r="A22" s="230"/>
      <c r="B22" s="8" t="s">
        <v>25</v>
      </c>
      <c r="C22" s="44"/>
      <c r="D22" s="229"/>
      <c r="F22" s="37" t="s">
        <v>24</v>
      </c>
    </row>
    <row r="23" spans="1:7" ht="5.25" customHeight="1" x14ac:dyDescent="0.4">
      <c r="A23" s="20"/>
      <c r="B23" s="20"/>
      <c r="C23" s="48"/>
      <c r="D23" s="20"/>
      <c r="F23" s="37" t="s">
        <v>25</v>
      </c>
    </row>
    <row r="24" spans="1:7" ht="4.5" customHeight="1" x14ac:dyDescent="0.4">
      <c r="A24" s="9"/>
      <c r="B24" s="9"/>
      <c r="C24" s="49"/>
      <c r="D24" s="9"/>
    </row>
    <row r="25" spans="1:7" ht="12.75" customHeight="1" x14ac:dyDescent="0.4">
      <c r="A25" s="233" t="s">
        <v>59</v>
      </c>
      <c r="B25" s="8" t="s">
        <v>26</v>
      </c>
      <c r="C25" s="44"/>
      <c r="D25" s="232"/>
      <c r="F25" s="38" t="s">
        <v>7</v>
      </c>
      <c r="G25" s="35">
        <v>1</v>
      </c>
    </row>
    <row r="26" spans="1:7" x14ac:dyDescent="0.4">
      <c r="A26" s="233"/>
      <c r="B26" s="8" t="s">
        <v>27</v>
      </c>
      <c r="C26" s="44"/>
      <c r="D26" s="232"/>
      <c r="F26" s="39" t="s">
        <v>26</v>
      </c>
    </row>
    <row r="27" spans="1:7" ht="6" customHeight="1" x14ac:dyDescent="0.4">
      <c r="A27" s="233"/>
      <c r="B27" s="14"/>
      <c r="C27" s="50"/>
      <c r="D27" s="21"/>
      <c r="F27" s="39" t="s">
        <v>27</v>
      </c>
    </row>
    <row r="28" spans="1:7" ht="24.6" x14ac:dyDescent="0.4">
      <c r="A28" s="233"/>
      <c r="B28" s="18" t="s">
        <v>29</v>
      </c>
      <c r="C28" s="45"/>
      <c r="D28" s="232"/>
      <c r="F28" s="4" t="s">
        <v>7</v>
      </c>
      <c r="G28" s="35">
        <v>1</v>
      </c>
    </row>
    <row r="29" spans="1:7" ht="24.6" x14ac:dyDescent="0.4">
      <c r="A29" s="233"/>
      <c r="B29" s="18" t="s">
        <v>28</v>
      </c>
      <c r="C29" s="45"/>
      <c r="D29" s="232"/>
      <c r="F29" s="40" t="s">
        <v>36</v>
      </c>
    </row>
    <row r="30" spans="1:7" ht="7.5" customHeight="1" x14ac:dyDescent="0.4">
      <c r="A30" s="233"/>
      <c r="B30" s="15"/>
      <c r="C30" s="51"/>
      <c r="D30" s="22"/>
      <c r="F30" s="40" t="s">
        <v>37</v>
      </c>
    </row>
    <row r="31" spans="1:7" x14ac:dyDescent="0.4">
      <c r="A31" s="233"/>
      <c r="B31" s="18" t="s">
        <v>30</v>
      </c>
      <c r="C31" s="44"/>
      <c r="D31" s="232"/>
      <c r="F31" s="4" t="s">
        <v>7</v>
      </c>
      <c r="G31" s="35">
        <v>1</v>
      </c>
    </row>
    <row r="32" spans="1:7" ht="24.6" x14ac:dyDescent="0.4">
      <c r="A32" s="233"/>
      <c r="B32" s="18" t="s">
        <v>31</v>
      </c>
      <c r="C32" s="44"/>
      <c r="D32" s="232"/>
      <c r="F32" s="40" t="s">
        <v>38</v>
      </c>
    </row>
    <row r="33" spans="1:7" ht="24.6" x14ac:dyDescent="0.4">
      <c r="A33" s="233"/>
      <c r="B33" s="18" t="s">
        <v>32</v>
      </c>
      <c r="C33" s="45"/>
      <c r="D33" s="232"/>
      <c r="F33" s="40" t="s">
        <v>39</v>
      </c>
    </row>
    <row r="34" spans="1:7" ht="6.75" customHeight="1" x14ac:dyDescent="0.4">
      <c r="A34" s="233"/>
      <c r="B34" s="16"/>
      <c r="C34" s="51"/>
      <c r="D34" s="22"/>
      <c r="F34" s="40" t="s">
        <v>40</v>
      </c>
    </row>
    <row r="35" spans="1:7" x14ac:dyDescent="0.4">
      <c r="A35" s="233"/>
      <c r="B35" s="8" t="s">
        <v>42</v>
      </c>
      <c r="C35" s="45"/>
      <c r="D35" s="232"/>
      <c r="F35" s="4" t="s">
        <v>7</v>
      </c>
      <c r="G35" s="35">
        <v>1</v>
      </c>
    </row>
    <row r="36" spans="1:7" ht="24.6" x14ac:dyDescent="0.4">
      <c r="A36" s="233"/>
      <c r="B36" s="18" t="s">
        <v>34</v>
      </c>
      <c r="C36" s="45"/>
      <c r="D36" s="232"/>
      <c r="F36" s="41" t="s">
        <v>33</v>
      </c>
    </row>
    <row r="37" spans="1:7" ht="6.75" customHeight="1" x14ac:dyDescent="0.4">
      <c r="A37" s="233"/>
      <c r="B37" s="16"/>
      <c r="C37" s="51"/>
      <c r="D37" s="22"/>
      <c r="F37" s="40" t="s">
        <v>41</v>
      </c>
    </row>
    <row r="38" spans="1:7" x14ac:dyDescent="0.4">
      <c r="A38" s="233"/>
      <c r="B38" s="8" t="s">
        <v>63</v>
      </c>
      <c r="C38" s="45"/>
      <c r="D38" s="232"/>
      <c r="F38" s="42" t="s">
        <v>7</v>
      </c>
      <c r="G38" s="35">
        <v>1</v>
      </c>
    </row>
    <row r="39" spans="1:7" x14ac:dyDescent="0.4">
      <c r="A39" s="233"/>
      <c r="B39" s="8" t="s">
        <v>64</v>
      </c>
      <c r="C39" s="44"/>
      <c r="D39" s="232"/>
      <c r="F39" s="41" t="s">
        <v>43</v>
      </c>
    </row>
    <row r="40" spans="1:7" ht="5.25" customHeight="1" x14ac:dyDescent="0.4">
      <c r="A40" s="234"/>
      <c r="B40" s="23"/>
      <c r="C40" s="52"/>
      <c r="D40" s="24"/>
      <c r="F40" s="41" t="s">
        <v>35</v>
      </c>
    </row>
    <row r="41" spans="1:7" ht="6" customHeight="1" x14ac:dyDescent="0.4">
      <c r="A41" s="227" t="s">
        <v>58</v>
      </c>
      <c r="B41" s="26"/>
      <c r="C41" s="53"/>
      <c r="D41" s="25"/>
      <c r="F41" s="4" t="s">
        <v>7</v>
      </c>
      <c r="G41" s="35">
        <v>1</v>
      </c>
    </row>
    <row r="42" spans="1:7" ht="24.6" x14ac:dyDescent="0.4">
      <c r="A42" s="228"/>
      <c r="B42" s="18" t="s">
        <v>44</v>
      </c>
      <c r="C42" s="45"/>
      <c r="D42" s="226"/>
      <c r="F42" s="4" t="s">
        <v>46</v>
      </c>
    </row>
    <row r="43" spans="1:7" ht="24.6" x14ac:dyDescent="0.4">
      <c r="A43" s="228"/>
      <c r="B43" s="18" t="s">
        <v>45</v>
      </c>
      <c r="C43" s="45"/>
      <c r="D43" s="226"/>
      <c r="F43" s="4" t="s">
        <v>47</v>
      </c>
    </row>
    <row r="44" spans="1:7" ht="5.25" customHeight="1" x14ac:dyDescent="0.4">
      <c r="A44" s="228"/>
      <c r="B44" s="25"/>
      <c r="C44" s="54"/>
      <c r="D44" s="25"/>
      <c r="F44" s="4" t="s">
        <v>7</v>
      </c>
      <c r="G44" s="35">
        <v>1</v>
      </c>
    </row>
    <row r="45" spans="1:7" x14ac:dyDescent="0.4">
      <c r="A45" s="228"/>
      <c r="B45" s="8" t="s">
        <v>65</v>
      </c>
      <c r="C45" s="45"/>
      <c r="D45" s="226"/>
      <c r="F45" s="4" t="s">
        <v>49</v>
      </c>
    </row>
    <row r="46" spans="1:7" ht="24.6" x14ac:dyDescent="0.4">
      <c r="A46" s="228"/>
      <c r="B46" s="18" t="s">
        <v>48</v>
      </c>
      <c r="C46" s="44"/>
      <c r="D46" s="226"/>
      <c r="F46" s="4" t="s">
        <v>50</v>
      </c>
    </row>
    <row r="47" spans="1:7" ht="5.25" customHeight="1" x14ac:dyDescent="0.4">
      <c r="A47" s="228"/>
      <c r="B47" s="25"/>
      <c r="C47" s="54"/>
      <c r="D47" s="25"/>
      <c r="F47" s="4" t="s">
        <v>7</v>
      </c>
      <c r="G47" s="35">
        <v>1</v>
      </c>
    </row>
    <row r="48" spans="1:7" x14ac:dyDescent="0.4">
      <c r="A48" s="228"/>
      <c r="B48" s="8" t="s">
        <v>66</v>
      </c>
      <c r="C48" s="45"/>
      <c r="D48" s="226"/>
      <c r="F48" s="41" t="s">
        <v>51</v>
      </c>
    </row>
    <row r="49" spans="1:7" x14ac:dyDescent="0.4">
      <c r="A49" s="228"/>
      <c r="B49" s="8" t="s">
        <v>67</v>
      </c>
      <c r="C49" s="44"/>
      <c r="D49" s="226"/>
      <c r="F49" s="41" t="s">
        <v>52</v>
      </c>
    </row>
    <row r="50" spans="1:7" ht="4.5" customHeight="1" x14ac:dyDescent="0.4">
      <c r="A50" s="228"/>
      <c r="B50" s="25"/>
      <c r="C50" s="54"/>
      <c r="D50" s="25"/>
      <c r="F50" s="4" t="s">
        <v>7</v>
      </c>
    </row>
    <row r="51" spans="1:7" x14ac:dyDescent="0.4">
      <c r="A51" s="228"/>
      <c r="B51" s="8" t="s">
        <v>68</v>
      </c>
      <c r="C51" s="45"/>
      <c r="D51" s="226"/>
      <c r="F51" s="41" t="s">
        <v>54</v>
      </c>
      <c r="G51" s="35">
        <v>1</v>
      </c>
    </row>
    <row r="52" spans="1:7" x14ac:dyDescent="0.4">
      <c r="A52" s="228"/>
      <c r="B52" s="8" t="s">
        <v>69</v>
      </c>
      <c r="C52" s="44"/>
      <c r="D52" s="226"/>
      <c r="F52" s="41" t="s">
        <v>53</v>
      </c>
    </row>
    <row r="53" spans="1:7" ht="5.25" customHeight="1" x14ac:dyDescent="0.4">
      <c r="A53" s="228"/>
      <c r="B53" s="25"/>
      <c r="C53" s="54"/>
      <c r="D53" s="25"/>
      <c r="F53" s="43" t="s">
        <v>7</v>
      </c>
      <c r="G53" s="35">
        <v>1</v>
      </c>
    </row>
    <row r="54" spans="1:7" x14ac:dyDescent="0.4">
      <c r="A54" s="228"/>
      <c r="B54" s="8" t="s">
        <v>70</v>
      </c>
      <c r="C54" s="44"/>
      <c r="D54" s="226"/>
      <c r="F54" s="41" t="s">
        <v>55</v>
      </c>
    </row>
    <row r="55" spans="1:7" x14ac:dyDescent="0.4">
      <c r="A55" s="228"/>
      <c r="B55" s="8" t="s">
        <v>71</v>
      </c>
      <c r="C55" s="44"/>
      <c r="D55" s="226"/>
      <c r="F55" s="41" t="s">
        <v>56</v>
      </c>
    </row>
    <row r="56" spans="1:7" ht="4.5" customHeight="1" x14ac:dyDescent="0.4">
      <c r="A56" s="228"/>
      <c r="B56" s="25"/>
      <c r="C56" s="54"/>
      <c r="D56" s="25"/>
    </row>
    <row r="57" spans="1:7" ht="6.75" customHeight="1" x14ac:dyDescent="0.4">
      <c r="A57" s="222" t="s">
        <v>57</v>
      </c>
      <c r="B57" s="27"/>
      <c r="C57" s="55"/>
      <c r="D57" s="28"/>
      <c r="F57" s="43" t="s">
        <v>7</v>
      </c>
      <c r="G57" s="35">
        <v>1</v>
      </c>
    </row>
    <row r="58" spans="1:7" ht="24.6" x14ac:dyDescent="0.4">
      <c r="A58" s="223"/>
      <c r="B58" s="18" t="s">
        <v>61</v>
      </c>
      <c r="C58" s="45"/>
      <c r="D58" s="225"/>
      <c r="F58" s="40" t="s">
        <v>61</v>
      </c>
    </row>
    <row r="59" spans="1:7" ht="24.6" x14ac:dyDescent="0.4">
      <c r="A59" s="223"/>
      <c r="B59" s="18" t="s">
        <v>62</v>
      </c>
      <c r="C59" s="45"/>
      <c r="D59" s="225"/>
      <c r="F59" s="40" t="s">
        <v>62</v>
      </c>
    </row>
    <row r="60" spans="1:7" ht="6" customHeight="1" x14ac:dyDescent="0.4">
      <c r="A60" s="223"/>
      <c r="B60" s="29"/>
      <c r="C60" s="56"/>
      <c r="D60" s="29"/>
      <c r="F60" s="43" t="s">
        <v>7</v>
      </c>
      <c r="G60" s="35">
        <v>1</v>
      </c>
    </row>
    <row r="61" spans="1:7" x14ac:dyDescent="0.4">
      <c r="A61" s="223"/>
      <c r="B61" s="8" t="s">
        <v>72</v>
      </c>
      <c r="C61" s="45"/>
      <c r="D61" s="225"/>
      <c r="F61" s="41" t="s">
        <v>72</v>
      </c>
    </row>
    <row r="62" spans="1:7" x14ac:dyDescent="0.4">
      <c r="A62" s="223"/>
      <c r="B62" s="8" t="s">
        <v>73</v>
      </c>
      <c r="C62" s="44"/>
      <c r="D62" s="225"/>
      <c r="F62" s="41" t="s">
        <v>73</v>
      </c>
    </row>
    <row r="63" spans="1:7" ht="6" customHeight="1" x14ac:dyDescent="0.4">
      <c r="A63" s="223"/>
      <c r="B63" s="29"/>
      <c r="C63" s="56"/>
      <c r="D63" s="29"/>
      <c r="F63" s="43" t="s">
        <v>7</v>
      </c>
      <c r="G63" s="35">
        <v>1</v>
      </c>
    </row>
    <row r="64" spans="1:7" x14ac:dyDescent="0.4">
      <c r="A64" s="223"/>
      <c r="B64" s="8" t="s">
        <v>74</v>
      </c>
      <c r="C64" s="45"/>
      <c r="D64" s="225"/>
      <c r="F64" s="41" t="s">
        <v>74</v>
      </c>
    </row>
    <row r="65" spans="1:7" x14ac:dyDescent="0.4">
      <c r="A65" s="223"/>
      <c r="B65" s="8" t="s">
        <v>75</v>
      </c>
      <c r="C65" s="45"/>
      <c r="D65" s="225"/>
      <c r="F65" s="41" t="s">
        <v>75</v>
      </c>
    </row>
    <row r="66" spans="1:7" x14ac:dyDescent="0.4">
      <c r="A66" s="223"/>
      <c r="B66" s="8" t="s">
        <v>76</v>
      </c>
      <c r="C66" s="44"/>
      <c r="D66" s="225"/>
      <c r="F66" s="41" t="s">
        <v>76</v>
      </c>
    </row>
    <row r="67" spans="1:7" ht="6" customHeight="1" x14ac:dyDescent="0.4">
      <c r="A67" s="223"/>
      <c r="B67" s="29"/>
      <c r="C67" s="56"/>
      <c r="D67" s="29"/>
      <c r="F67" s="43" t="s">
        <v>7</v>
      </c>
      <c r="G67" s="35">
        <v>1</v>
      </c>
    </row>
    <row r="68" spans="1:7" ht="24.6" x14ac:dyDescent="0.4">
      <c r="A68" s="223"/>
      <c r="B68" s="18" t="s">
        <v>77</v>
      </c>
      <c r="C68" s="45"/>
      <c r="D68" s="225"/>
      <c r="F68" s="40" t="s">
        <v>92</v>
      </c>
    </row>
    <row r="69" spans="1:7" ht="24.6" x14ac:dyDescent="0.4">
      <c r="A69" s="223"/>
      <c r="B69" s="18" t="s">
        <v>78</v>
      </c>
      <c r="C69" s="44"/>
      <c r="D69" s="225"/>
      <c r="F69" s="40" t="s">
        <v>93</v>
      </c>
    </row>
    <row r="70" spans="1:7" ht="6" customHeight="1" x14ac:dyDescent="0.4">
      <c r="A70" s="223"/>
      <c r="B70" s="29"/>
      <c r="C70" s="56"/>
      <c r="D70" s="29"/>
      <c r="F70" s="43" t="s">
        <v>7</v>
      </c>
      <c r="G70" s="35">
        <v>1</v>
      </c>
    </row>
    <row r="71" spans="1:7" x14ac:dyDescent="0.4">
      <c r="A71" s="223"/>
      <c r="B71" s="8" t="s">
        <v>79</v>
      </c>
      <c r="C71" s="44"/>
      <c r="D71" s="225"/>
      <c r="F71" s="41" t="s">
        <v>79</v>
      </c>
    </row>
    <row r="72" spans="1:7" x14ac:dyDescent="0.4">
      <c r="A72" s="223"/>
      <c r="B72" s="8" t="s">
        <v>80</v>
      </c>
      <c r="C72" s="44"/>
      <c r="D72" s="225"/>
      <c r="F72" s="41" t="s">
        <v>80</v>
      </c>
    </row>
    <row r="73" spans="1:7" ht="6.75" customHeight="1" x14ac:dyDescent="0.4">
      <c r="A73" s="224"/>
      <c r="B73" s="30"/>
      <c r="C73" s="57"/>
      <c r="D73" s="30"/>
      <c r="F73" s="43" t="s">
        <v>7</v>
      </c>
      <c r="G73" s="35">
        <v>1</v>
      </c>
    </row>
    <row r="74" spans="1:7" ht="7.5" customHeight="1" x14ac:dyDescent="0.4">
      <c r="A74" s="218" t="s">
        <v>81</v>
      </c>
      <c r="B74" s="31"/>
      <c r="C74" s="58"/>
      <c r="D74" s="32"/>
      <c r="F74" s="41" t="s">
        <v>82</v>
      </c>
    </row>
    <row r="75" spans="1:7" x14ac:dyDescent="0.4">
      <c r="A75" s="219"/>
      <c r="B75" s="8" t="s">
        <v>82</v>
      </c>
      <c r="C75" s="45"/>
      <c r="D75" s="221"/>
      <c r="F75" s="41" t="s">
        <v>83</v>
      </c>
    </row>
    <row r="76" spans="1:7" x14ac:dyDescent="0.4">
      <c r="A76" s="219"/>
      <c r="B76" s="8" t="s">
        <v>83</v>
      </c>
      <c r="C76" s="44"/>
      <c r="D76" s="221"/>
    </row>
    <row r="77" spans="1:7" ht="5.25" customHeight="1" x14ac:dyDescent="0.4">
      <c r="A77" s="219"/>
      <c r="B77" s="33"/>
      <c r="C77" s="59"/>
      <c r="D77" s="33"/>
      <c r="F77" s="43" t="s">
        <v>7</v>
      </c>
      <c r="G77" s="35">
        <v>1</v>
      </c>
    </row>
    <row r="78" spans="1:7" x14ac:dyDescent="0.4">
      <c r="A78" s="219"/>
      <c r="B78" s="8" t="s">
        <v>84</v>
      </c>
      <c r="C78" s="45"/>
      <c r="D78" s="221"/>
      <c r="F78" s="41" t="s">
        <v>84</v>
      </c>
    </row>
    <row r="79" spans="1:7" x14ac:dyDescent="0.4">
      <c r="A79" s="219"/>
      <c r="B79" s="8" t="s">
        <v>85</v>
      </c>
      <c r="C79" s="44"/>
      <c r="D79" s="221"/>
      <c r="F79" s="41" t="s">
        <v>85</v>
      </c>
    </row>
    <row r="80" spans="1:7" ht="5.25" customHeight="1" x14ac:dyDescent="0.4">
      <c r="A80" s="219"/>
      <c r="B80" s="33"/>
      <c r="C80" s="59"/>
      <c r="D80" s="33"/>
      <c r="F80" s="43" t="s">
        <v>7</v>
      </c>
      <c r="G80" s="35">
        <v>1</v>
      </c>
    </row>
    <row r="81" spans="1:7" x14ac:dyDescent="0.4">
      <c r="A81" s="219"/>
      <c r="B81" s="8" t="s">
        <v>86</v>
      </c>
      <c r="C81" s="45"/>
      <c r="D81" s="221"/>
      <c r="F81" s="41" t="s">
        <v>86</v>
      </c>
    </row>
    <row r="82" spans="1:7" x14ac:dyDescent="0.4">
      <c r="A82" s="219"/>
      <c r="B82" s="8" t="s">
        <v>87</v>
      </c>
      <c r="C82" s="45"/>
      <c r="D82" s="221"/>
      <c r="F82" s="41" t="s">
        <v>87</v>
      </c>
    </row>
    <row r="83" spans="1:7" ht="5.25" customHeight="1" x14ac:dyDescent="0.4">
      <c r="A83" s="219"/>
      <c r="B83" s="33"/>
      <c r="C83" s="59"/>
      <c r="D83" s="33"/>
      <c r="F83" s="43" t="s">
        <v>7</v>
      </c>
      <c r="G83" s="35">
        <v>1</v>
      </c>
    </row>
    <row r="84" spans="1:7" x14ac:dyDescent="0.4">
      <c r="A84" s="219"/>
      <c r="B84" s="8" t="s">
        <v>88</v>
      </c>
      <c r="C84" s="45"/>
      <c r="D84" s="221"/>
      <c r="F84" s="41" t="s">
        <v>88</v>
      </c>
    </row>
    <row r="85" spans="1:7" x14ac:dyDescent="0.4">
      <c r="A85" s="219"/>
      <c r="B85" s="8" t="s">
        <v>89</v>
      </c>
      <c r="C85" s="44"/>
      <c r="D85" s="221"/>
      <c r="F85" s="41" t="s">
        <v>89</v>
      </c>
    </row>
    <row r="86" spans="1:7" ht="3.75" customHeight="1" x14ac:dyDescent="0.4">
      <c r="A86" s="219"/>
      <c r="B86" s="33"/>
      <c r="C86" s="59"/>
      <c r="D86" s="33"/>
      <c r="F86" s="43" t="s">
        <v>7</v>
      </c>
      <c r="G86" s="35">
        <v>1</v>
      </c>
    </row>
    <row r="87" spans="1:7" x14ac:dyDescent="0.4">
      <c r="A87" s="219"/>
      <c r="B87" s="8" t="s">
        <v>90</v>
      </c>
      <c r="C87" s="44"/>
      <c r="D87" s="221"/>
      <c r="F87" s="41" t="s">
        <v>90</v>
      </c>
    </row>
    <row r="88" spans="1:7" x14ac:dyDescent="0.4">
      <c r="A88" s="219"/>
      <c r="B88" s="8" t="s">
        <v>91</v>
      </c>
      <c r="C88" s="44"/>
      <c r="D88" s="221"/>
      <c r="F88" s="41" t="s">
        <v>91</v>
      </c>
    </row>
    <row r="89" spans="1:7" ht="3.75" customHeight="1" x14ac:dyDescent="0.4">
      <c r="A89" s="220"/>
      <c r="B89" s="34"/>
      <c r="C89" s="60"/>
      <c r="D89" s="34"/>
    </row>
  </sheetData>
  <sheetProtection password="CFC0" sheet="1" objects="1" scenarios="1"/>
  <mergeCells count="32">
    <mergeCell ref="D20:D22"/>
    <mergeCell ref="A5:A22"/>
    <mergeCell ref="A1:D1"/>
    <mergeCell ref="D25:D26"/>
    <mergeCell ref="D28:D29"/>
    <mergeCell ref="D5:D6"/>
    <mergeCell ref="D8:D9"/>
    <mergeCell ref="D11:D12"/>
    <mergeCell ref="D14:D15"/>
    <mergeCell ref="D17:D18"/>
    <mergeCell ref="A25:A40"/>
    <mergeCell ref="D31:D33"/>
    <mergeCell ref="D35:D36"/>
    <mergeCell ref="D38:D39"/>
    <mergeCell ref="D45:D46"/>
    <mergeCell ref="D48:D49"/>
    <mergeCell ref="D51:D52"/>
    <mergeCell ref="D54:D55"/>
    <mergeCell ref="A41:A56"/>
    <mergeCell ref="D42:D43"/>
    <mergeCell ref="A57:A73"/>
    <mergeCell ref="D58:D59"/>
    <mergeCell ref="D61:D62"/>
    <mergeCell ref="D64:D66"/>
    <mergeCell ref="D68:D69"/>
    <mergeCell ref="D71:D72"/>
    <mergeCell ref="A74:A89"/>
    <mergeCell ref="D75:D76"/>
    <mergeCell ref="D78:D79"/>
    <mergeCell ref="D81:D82"/>
    <mergeCell ref="D84:D85"/>
    <mergeCell ref="D87:D88"/>
  </mergeCells>
  <conditionalFormatting sqref="I6:I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3622047244094491" right="0.23622047244094491" top="0.74803149606299213" bottom="0.74803149606299213" header="0.31496062992125984" footer="0.31496062992125984"/>
  <pageSetup scale="98" fitToHeight="19" orientation="landscape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r:id="rId4" name="Drop Down 1">
              <controlPr defaultSize="0" autoLine="0" autoPict="0">
                <anchor moveWithCells="1">
                  <from>
                    <xdr:col>3</xdr:col>
                    <xdr:colOff>30480</xdr:colOff>
                    <xdr:row>4</xdr:row>
                    <xdr:rowOff>15240</xdr:rowOff>
                  </from>
                  <to>
                    <xdr:col>3</xdr:col>
                    <xdr:colOff>872490</xdr:colOff>
                    <xdr:row>5</xdr:row>
                    <xdr:rowOff>41910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4" r:id="rId5" name="Drop Down 2">
              <controlPr defaultSize="0" autoLine="0" autoPict="0">
                <anchor moveWithCells="1">
                  <from>
                    <xdr:col>3</xdr:col>
                    <xdr:colOff>30480</xdr:colOff>
                    <xdr:row>7</xdr:row>
                    <xdr:rowOff>15240</xdr:rowOff>
                  </from>
                  <to>
                    <xdr:col>3</xdr:col>
                    <xdr:colOff>872490</xdr:colOff>
                    <xdr:row>8</xdr:row>
                    <xdr:rowOff>41910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5" r:id="rId6" name="Drop Down 3">
              <controlPr defaultSize="0" autoLine="0" autoPict="0">
                <anchor moveWithCells="1">
                  <from>
                    <xdr:col>3</xdr:col>
                    <xdr:colOff>30480</xdr:colOff>
                    <xdr:row>10</xdr:row>
                    <xdr:rowOff>15240</xdr:rowOff>
                  </from>
                  <to>
                    <xdr:col>3</xdr:col>
                    <xdr:colOff>872490</xdr:colOff>
                    <xdr:row>11</xdr:row>
                    <xdr:rowOff>41910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6" r:id="rId7" name="Drop Down 4">
              <controlPr defaultSize="0" autoLine="0" autoPict="0">
                <anchor moveWithCells="1">
                  <from>
                    <xdr:col>3</xdr:col>
                    <xdr:colOff>30480</xdr:colOff>
                    <xdr:row>13</xdr:row>
                    <xdr:rowOff>15240</xdr:rowOff>
                  </from>
                  <to>
                    <xdr:col>3</xdr:col>
                    <xdr:colOff>872490</xdr:colOff>
                    <xdr:row>14</xdr:row>
                    <xdr:rowOff>41910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7" r:id="rId8" name="Drop Down 5">
              <controlPr defaultSize="0" autoLine="0" autoPict="0">
                <anchor moveWithCells="1">
                  <from>
                    <xdr:col>3</xdr:col>
                    <xdr:colOff>30480</xdr:colOff>
                    <xdr:row>16</xdr:row>
                    <xdr:rowOff>15240</xdr:rowOff>
                  </from>
                  <to>
                    <xdr:col>3</xdr:col>
                    <xdr:colOff>872490</xdr:colOff>
                    <xdr:row>17</xdr:row>
                    <xdr:rowOff>41910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8" r:id="rId9" name="Drop Down 6">
              <controlPr defaultSize="0" autoLine="0" autoPict="0">
                <anchor moveWithCells="1">
                  <from>
                    <xdr:col>3</xdr:col>
                    <xdr:colOff>30480</xdr:colOff>
                    <xdr:row>19</xdr:row>
                    <xdr:rowOff>15240</xdr:rowOff>
                  </from>
                  <to>
                    <xdr:col>3</xdr:col>
                    <xdr:colOff>872490</xdr:colOff>
                    <xdr:row>20</xdr:row>
                    <xdr:rowOff>41910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9" r:id="rId10" name="Drop Down 7">
              <controlPr defaultSize="0" autoLine="0" autoPict="0">
                <anchor moveWithCells="1">
                  <from>
                    <xdr:col>3</xdr:col>
                    <xdr:colOff>30480</xdr:colOff>
                    <xdr:row>24</xdr:row>
                    <xdr:rowOff>15240</xdr:rowOff>
                  </from>
                  <to>
                    <xdr:col>3</xdr:col>
                    <xdr:colOff>872490</xdr:colOff>
                    <xdr:row>25</xdr:row>
                    <xdr:rowOff>41910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0" r:id="rId11" name="Drop Down 8">
              <controlPr defaultSize="0" autoLine="0" autoPict="0">
                <anchor moveWithCells="1">
                  <from>
                    <xdr:col>3</xdr:col>
                    <xdr:colOff>11430</xdr:colOff>
                    <xdr:row>27</xdr:row>
                    <xdr:rowOff>15240</xdr:rowOff>
                  </from>
                  <to>
                    <xdr:col>3</xdr:col>
                    <xdr:colOff>937260</xdr:colOff>
                    <xdr:row>27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1" r:id="rId12" name="Drop Down 9">
              <controlPr defaultSize="0" autoLine="0" autoPict="0">
                <anchor moveWithCells="1">
                  <from>
                    <xdr:col>3</xdr:col>
                    <xdr:colOff>15240</xdr:colOff>
                    <xdr:row>30</xdr:row>
                    <xdr:rowOff>15240</xdr:rowOff>
                  </from>
                  <to>
                    <xdr:col>3</xdr:col>
                    <xdr:colOff>922020</xdr:colOff>
                    <xdr:row>30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2" r:id="rId13" name="Drop Down 10">
              <controlPr defaultSize="0" autoLine="0" autoPict="0">
                <anchor moveWithCells="1">
                  <from>
                    <xdr:col>3</xdr:col>
                    <xdr:colOff>30480</xdr:colOff>
                    <xdr:row>34</xdr:row>
                    <xdr:rowOff>15240</xdr:rowOff>
                  </from>
                  <to>
                    <xdr:col>3</xdr:col>
                    <xdr:colOff>872490</xdr:colOff>
                    <xdr:row>35</xdr:row>
                    <xdr:rowOff>41910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3" r:id="rId14" name="Drop Down 11">
              <controlPr defaultSize="0" autoLine="0" autoPict="0">
                <anchor moveWithCells="1">
                  <from>
                    <xdr:col>3</xdr:col>
                    <xdr:colOff>30480</xdr:colOff>
                    <xdr:row>37</xdr:row>
                    <xdr:rowOff>15240</xdr:rowOff>
                  </from>
                  <to>
                    <xdr:col>3</xdr:col>
                    <xdr:colOff>872490</xdr:colOff>
                    <xdr:row>38</xdr:row>
                    <xdr:rowOff>41910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4" r:id="rId15" name="Drop Down 12">
              <controlPr defaultSize="0" autoLine="0" autoPict="0">
                <anchor moveWithCells="1">
                  <from>
                    <xdr:col>3</xdr:col>
                    <xdr:colOff>30480</xdr:colOff>
                    <xdr:row>41</xdr:row>
                    <xdr:rowOff>15240</xdr:rowOff>
                  </from>
                  <to>
                    <xdr:col>3</xdr:col>
                    <xdr:colOff>872490</xdr:colOff>
                    <xdr:row>41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5" r:id="rId16" name="Drop Down 13">
              <controlPr defaultSize="0" autoLine="0" autoPict="0">
                <anchor moveWithCells="1">
                  <from>
                    <xdr:col>3</xdr:col>
                    <xdr:colOff>30480</xdr:colOff>
                    <xdr:row>44</xdr:row>
                    <xdr:rowOff>15240</xdr:rowOff>
                  </from>
                  <to>
                    <xdr:col>3</xdr:col>
                    <xdr:colOff>872490</xdr:colOff>
                    <xdr:row>45</xdr:row>
                    <xdr:rowOff>41910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6" r:id="rId17" name="Drop Down 14">
              <controlPr defaultSize="0" autoLine="0" autoPict="0">
                <anchor moveWithCells="1">
                  <from>
                    <xdr:col>3</xdr:col>
                    <xdr:colOff>30480</xdr:colOff>
                    <xdr:row>47</xdr:row>
                    <xdr:rowOff>15240</xdr:rowOff>
                  </from>
                  <to>
                    <xdr:col>3</xdr:col>
                    <xdr:colOff>872490</xdr:colOff>
                    <xdr:row>48</xdr:row>
                    <xdr:rowOff>41910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7" r:id="rId18" name="Drop Down 15">
              <controlPr defaultSize="0" autoLine="0" autoPict="0">
                <anchor moveWithCells="1">
                  <from>
                    <xdr:col>3</xdr:col>
                    <xdr:colOff>30480</xdr:colOff>
                    <xdr:row>50</xdr:row>
                    <xdr:rowOff>15240</xdr:rowOff>
                  </from>
                  <to>
                    <xdr:col>3</xdr:col>
                    <xdr:colOff>872490</xdr:colOff>
                    <xdr:row>51</xdr:row>
                    <xdr:rowOff>41910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8" r:id="rId19" name="Drop Down 16">
              <controlPr defaultSize="0" autoLine="0" autoPict="0">
                <anchor moveWithCells="1">
                  <from>
                    <xdr:col>3</xdr:col>
                    <xdr:colOff>30480</xdr:colOff>
                    <xdr:row>53</xdr:row>
                    <xdr:rowOff>15240</xdr:rowOff>
                  </from>
                  <to>
                    <xdr:col>3</xdr:col>
                    <xdr:colOff>872490</xdr:colOff>
                    <xdr:row>54</xdr:row>
                    <xdr:rowOff>41910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9" r:id="rId20" name="Drop Down 17">
              <controlPr defaultSize="0" autoLine="0" autoPict="0">
                <anchor moveWithCells="1">
                  <from>
                    <xdr:col>3</xdr:col>
                    <xdr:colOff>3810</xdr:colOff>
                    <xdr:row>57</xdr:row>
                    <xdr:rowOff>15240</xdr:rowOff>
                  </from>
                  <to>
                    <xdr:col>3</xdr:col>
                    <xdr:colOff>948690</xdr:colOff>
                    <xdr:row>57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0" r:id="rId21" name="Drop Down 18">
              <controlPr defaultSize="0" autoLine="0" autoPict="0">
                <anchor moveWithCells="1">
                  <from>
                    <xdr:col>3</xdr:col>
                    <xdr:colOff>30480</xdr:colOff>
                    <xdr:row>60</xdr:row>
                    <xdr:rowOff>15240</xdr:rowOff>
                  </from>
                  <to>
                    <xdr:col>3</xdr:col>
                    <xdr:colOff>872490</xdr:colOff>
                    <xdr:row>61</xdr:row>
                    <xdr:rowOff>41910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1" r:id="rId22" name="Drop Down 19">
              <controlPr defaultSize="0" autoLine="0" autoPict="0">
                <anchor moveWithCells="1">
                  <from>
                    <xdr:col>3</xdr:col>
                    <xdr:colOff>30480</xdr:colOff>
                    <xdr:row>63</xdr:row>
                    <xdr:rowOff>15240</xdr:rowOff>
                  </from>
                  <to>
                    <xdr:col>3</xdr:col>
                    <xdr:colOff>872490</xdr:colOff>
                    <xdr:row>64</xdr:row>
                    <xdr:rowOff>41910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2" r:id="rId23" name="Drop Down 20">
              <controlPr defaultSize="0" autoLine="0" autoPict="0">
                <anchor moveWithCells="1">
                  <from>
                    <xdr:col>3</xdr:col>
                    <xdr:colOff>30480</xdr:colOff>
                    <xdr:row>67</xdr:row>
                    <xdr:rowOff>15240</xdr:rowOff>
                  </from>
                  <to>
                    <xdr:col>3</xdr:col>
                    <xdr:colOff>872490</xdr:colOff>
                    <xdr:row>67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3" r:id="rId24" name="Drop Down 21">
              <controlPr defaultSize="0" autoLine="0" autoPict="0">
                <anchor moveWithCells="1">
                  <from>
                    <xdr:col>3</xdr:col>
                    <xdr:colOff>30480</xdr:colOff>
                    <xdr:row>70</xdr:row>
                    <xdr:rowOff>15240</xdr:rowOff>
                  </from>
                  <to>
                    <xdr:col>3</xdr:col>
                    <xdr:colOff>872490</xdr:colOff>
                    <xdr:row>71</xdr:row>
                    <xdr:rowOff>41910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4" r:id="rId25" name="Drop Down 22">
              <controlPr defaultSize="0" autoLine="0" autoPict="0">
                <anchor moveWithCells="1">
                  <from>
                    <xdr:col>3</xdr:col>
                    <xdr:colOff>30480</xdr:colOff>
                    <xdr:row>74</xdr:row>
                    <xdr:rowOff>15240</xdr:rowOff>
                  </from>
                  <to>
                    <xdr:col>3</xdr:col>
                    <xdr:colOff>872490</xdr:colOff>
                    <xdr:row>75</xdr:row>
                    <xdr:rowOff>41910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5" r:id="rId26" name="Drop Down 23">
              <controlPr defaultSize="0" autoLine="0" autoPict="0">
                <anchor moveWithCells="1">
                  <from>
                    <xdr:col>3</xdr:col>
                    <xdr:colOff>30480</xdr:colOff>
                    <xdr:row>77</xdr:row>
                    <xdr:rowOff>15240</xdr:rowOff>
                  </from>
                  <to>
                    <xdr:col>3</xdr:col>
                    <xdr:colOff>872490</xdr:colOff>
                    <xdr:row>78</xdr:row>
                    <xdr:rowOff>41910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6" r:id="rId27" name="Drop Down 24">
              <controlPr defaultSize="0" autoLine="0" autoPict="0">
                <anchor moveWithCells="1">
                  <from>
                    <xdr:col>3</xdr:col>
                    <xdr:colOff>30480</xdr:colOff>
                    <xdr:row>80</xdr:row>
                    <xdr:rowOff>15240</xdr:rowOff>
                  </from>
                  <to>
                    <xdr:col>3</xdr:col>
                    <xdr:colOff>872490</xdr:colOff>
                    <xdr:row>81</xdr:row>
                    <xdr:rowOff>41910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7" r:id="rId28" name="Drop Down 25">
              <controlPr defaultSize="0" autoLine="0" autoPict="0">
                <anchor moveWithCells="1">
                  <from>
                    <xdr:col>3</xdr:col>
                    <xdr:colOff>30480</xdr:colOff>
                    <xdr:row>83</xdr:row>
                    <xdr:rowOff>15240</xdr:rowOff>
                  </from>
                  <to>
                    <xdr:col>3</xdr:col>
                    <xdr:colOff>872490</xdr:colOff>
                    <xdr:row>84</xdr:row>
                    <xdr:rowOff>41910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8" r:id="rId29" name="Drop Down 26">
              <controlPr defaultSize="0" autoLine="0" autoPict="0">
                <anchor moveWithCells="1">
                  <from>
                    <xdr:col>3</xdr:col>
                    <xdr:colOff>30480</xdr:colOff>
                    <xdr:row>86</xdr:row>
                    <xdr:rowOff>15240</xdr:rowOff>
                  </from>
                  <to>
                    <xdr:col>3</xdr:col>
                    <xdr:colOff>872490</xdr:colOff>
                    <xdr:row>87</xdr:row>
                    <xdr:rowOff>41910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89"/>
  <sheetViews>
    <sheetView showGridLines="0" workbookViewId="0">
      <pane ySplit="3" topLeftCell="A4" activePane="bottomLeft" state="frozen"/>
      <selection pane="bottomLeft" activeCell="C5" sqref="C5"/>
    </sheetView>
  </sheetViews>
  <sheetFormatPr defaultRowHeight="12.3" x14ac:dyDescent="0.4"/>
  <cols>
    <col min="1" max="1" width="7.1640625" customWidth="1"/>
    <col min="2" max="2" width="37.5546875" customWidth="1"/>
    <col min="3" max="3" width="58.83203125" customWidth="1"/>
    <col min="4" max="4" width="36.1640625" customWidth="1"/>
    <col min="6" max="6" width="30.83203125" style="3" hidden="1" customWidth="1"/>
    <col min="7" max="7" width="9.1640625" style="35" hidden="1" customWidth="1"/>
    <col min="10" max="10" width="22.5546875" customWidth="1"/>
  </cols>
  <sheetData>
    <row r="1" spans="1:10" ht="17.7" x14ac:dyDescent="0.6">
      <c r="A1" s="231" t="s">
        <v>474</v>
      </c>
      <c r="B1" s="231"/>
      <c r="C1" s="231"/>
      <c r="D1" s="231"/>
    </row>
    <row r="2" spans="1:10" ht="6.75" customHeight="1" x14ac:dyDescent="0.4"/>
    <row r="3" spans="1:10" s="2" customFormat="1" ht="12.6" thickBot="1" x14ac:dyDescent="0.45">
      <c r="A3" s="13" t="s">
        <v>0</v>
      </c>
      <c r="B3" s="13" t="s">
        <v>3</v>
      </c>
      <c r="C3" s="13" t="s">
        <v>4</v>
      </c>
      <c r="D3" s="13" t="s">
        <v>8</v>
      </c>
      <c r="F3" s="4" t="s">
        <v>7</v>
      </c>
      <c r="G3" s="36">
        <v>1</v>
      </c>
      <c r="J3" s="6"/>
    </row>
    <row r="4" spans="1:10" s="2" customFormat="1" ht="6.75" customHeight="1" thickTop="1" x14ac:dyDescent="0.4">
      <c r="A4" s="10"/>
      <c r="B4" s="10"/>
      <c r="C4" s="10"/>
      <c r="D4" s="10"/>
      <c r="F4" s="4" t="s">
        <v>1</v>
      </c>
      <c r="G4" s="36"/>
      <c r="J4" s="6"/>
    </row>
    <row r="5" spans="1:10" x14ac:dyDescent="0.4">
      <c r="A5" s="230" t="s">
        <v>60</v>
      </c>
      <c r="B5" s="8" t="s">
        <v>5</v>
      </c>
      <c r="C5" s="44"/>
      <c r="D5" s="229"/>
      <c r="F5" s="4" t="s">
        <v>2</v>
      </c>
    </row>
    <row r="6" spans="1:10" x14ac:dyDescent="0.4">
      <c r="A6" s="230"/>
      <c r="B6" s="8" t="s">
        <v>6</v>
      </c>
      <c r="C6" s="44"/>
      <c r="D6" s="229"/>
    </row>
    <row r="7" spans="1:10" ht="6" customHeight="1" x14ac:dyDescent="0.4">
      <c r="A7" s="230"/>
      <c r="B7" s="7"/>
      <c r="C7" s="46"/>
      <c r="D7" s="19"/>
      <c r="F7" s="4"/>
    </row>
    <row r="8" spans="1:10" x14ac:dyDescent="0.4">
      <c r="A8" s="230"/>
      <c r="B8" s="8" t="s">
        <v>12</v>
      </c>
      <c r="C8" s="45"/>
      <c r="D8" s="229"/>
      <c r="F8" s="4" t="s">
        <v>7</v>
      </c>
      <c r="G8" s="35">
        <v>1</v>
      </c>
    </row>
    <row r="9" spans="1:10" x14ac:dyDescent="0.4">
      <c r="A9" s="230"/>
      <c r="B9" s="8" t="s">
        <v>13</v>
      </c>
      <c r="C9" s="45"/>
      <c r="D9" s="229"/>
      <c r="F9" s="4" t="s">
        <v>9</v>
      </c>
    </row>
    <row r="10" spans="1:10" ht="6" customHeight="1" x14ac:dyDescent="0.4">
      <c r="A10" s="230"/>
      <c r="B10" s="11"/>
      <c r="C10" s="47"/>
      <c r="D10" s="17"/>
      <c r="F10" s="4" t="s">
        <v>10</v>
      </c>
    </row>
    <row r="11" spans="1:10" x14ac:dyDescent="0.4">
      <c r="A11" s="230"/>
      <c r="B11" s="8" t="s">
        <v>14</v>
      </c>
      <c r="C11" s="44"/>
      <c r="D11" s="229"/>
      <c r="F11" s="4" t="s">
        <v>7</v>
      </c>
      <c r="G11" s="35">
        <v>1</v>
      </c>
    </row>
    <row r="12" spans="1:10" x14ac:dyDescent="0.4">
      <c r="A12" s="230"/>
      <c r="B12" s="8" t="s">
        <v>15</v>
      </c>
      <c r="C12" s="45"/>
      <c r="D12" s="229"/>
      <c r="F12" s="4" t="s">
        <v>16</v>
      </c>
    </row>
    <row r="13" spans="1:10" ht="6" customHeight="1" x14ac:dyDescent="0.4">
      <c r="A13" s="230"/>
      <c r="B13" s="12"/>
      <c r="C13" s="47"/>
      <c r="D13" s="17"/>
      <c r="F13" s="4" t="s">
        <v>11</v>
      </c>
    </row>
    <row r="14" spans="1:10" x14ac:dyDescent="0.4">
      <c r="A14" s="230"/>
      <c r="B14" s="8" t="s">
        <v>20</v>
      </c>
      <c r="C14" s="45"/>
      <c r="D14" s="229"/>
      <c r="F14" s="4" t="s">
        <v>7</v>
      </c>
      <c r="G14" s="35">
        <v>1</v>
      </c>
    </row>
    <row r="15" spans="1:10" x14ac:dyDescent="0.4">
      <c r="A15" s="230"/>
      <c r="B15" s="8" t="s">
        <v>19</v>
      </c>
      <c r="C15" s="45"/>
      <c r="D15" s="229"/>
      <c r="F15" s="37" t="s">
        <v>17</v>
      </c>
    </row>
    <row r="16" spans="1:10" ht="6" customHeight="1" x14ac:dyDescent="0.4">
      <c r="A16" s="230"/>
      <c r="B16" s="12"/>
      <c r="C16" s="47"/>
      <c r="D16" s="17"/>
      <c r="F16" s="37" t="s">
        <v>18</v>
      </c>
    </row>
    <row r="17" spans="1:7" x14ac:dyDescent="0.4">
      <c r="A17" s="230"/>
      <c r="B17" s="8" t="s">
        <v>21</v>
      </c>
      <c r="C17" s="45"/>
      <c r="D17" s="229"/>
      <c r="F17" s="4" t="s">
        <v>7</v>
      </c>
      <c r="G17" s="35">
        <v>1</v>
      </c>
    </row>
    <row r="18" spans="1:7" x14ac:dyDescent="0.4">
      <c r="A18" s="230"/>
      <c r="B18" s="8" t="s">
        <v>22</v>
      </c>
      <c r="C18" s="44"/>
      <c r="D18" s="229"/>
      <c r="F18" s="37" t="s">
        <v>21</v>
      </c>
    </row>
    <row r="19" spans="1:7" ht="5.25" customHeight="1" x14ac:dyDescent="0.4">
      <c r="A19" s="230"/>
      <c r="B19" s="12"/>
      <c r="C19" s="47"/>
      <c r="D19" s="17"/>
      <c r="F19" s="37" t="s">
        <v>22</v>
      </c>
    </row>
    <row r="20" spans="1:7" x14ac:dyDescent="0.4">
      <c r="A20" s="230"/>
      <c r="B20" s="8" t="s">
        <v>23</v>
      </c>
      <c r="C20" s="45"/>
      <c r="D20" s="229"/>
      <c r="F20" s="4" t="s">
        <v>7</v>
      </c>
      <c r="G20" s="35">
        <v>1</v>
      </c>
    </row>
    <row r="21" spans="1:7" x14ac:dyDescent="0.4">
      <c r="A21" s="230"/>
      <c r="B21" s="8" t="s">
        <v>24</v>
      </c>
      <c r="C21" s="45"/>
      <c r="D21" s="229"/>
      <c r="F21" s="37" t="s">
        <v>23</v>
      </c>
    </row>
    <row r="22" spans="1:7" x14ac:dyDescent="0.4">
      <c r="A22" s="230"/>
      <c r="B22" s="8" t="s">
        <v>25</v>
      </c>
      <c r="C22" s="44"/>
      <c r="D22" s="229"/>
      <c r="F22" s="37" t="s">
        <v>24</v>
      </c>
    </row>
    <row r="23" spans="1:7" ht="5.25" customHeight="1" x14ac:dyDescent="0.4">
      <c r="A23" s="20"/>
      <c r="B23" s="20"/>
      <c r="C23" s="48"/>
      <c r="D23" s="20"/>
      <c r="F23" s="37" t="s">
        <v>25</v>
      </c>
    </row>
    <row r="24" spans="1:7" ht="4.5" customHeight="1" x14ac:dyDescent="0.4">
      <c r="A24" s="9"/>
      <c r="B24" s="9"/>
      <c r="C24" s="49"/>
      <c r="D24" s="9"/>
    </row>
    <row r="25" spans="1:7" ht="12.75" customHeight="1" x14ac:dyDescent="0.4">
      <c r="A25" s="233" t="s">
        <v>59</v>
      </c>
      <c r="B25" s="8" t="s">
        <v>26</v>
      </c>
      <c r="C25" s="44"/>
      <c r="D25" s="232"/>
      <c r="F25" s="38" t="s">
        <v>7</v>
      </c>
      <c r="G25" s="35">
        <v>1</v>
      </c>
    </row>
    <row r="26" spans="1:7" x14ac:dyDescent="0.4">
      <c r="A26" s="233"/>
      <c r="B26" s="8" t="s">
        <v>27</v>
      </c>
      <c r="C26" s="44"/>
      <c r="D26" s="232"/>
      <c r="F26" s="39" t="s">
        <v>26</v>
      </c>
    </row>
    <row r="27" spans="1:7" ht="6" customHeight="1" x14ac:dyDescent="0.4">
      <c r="A27" s="233"/>
      <c r="B27" s="14"/>
      <c r="C27" s="50"/>
      <c r="D27" s="21"/>
      <c r="F27" s="39" t="s">
        <v>27</v>
      </c>
    </row>
    <row r="28" spans="1:7" ht="24.6" x14ac:dyDescent="0.4">
      <c r="A28" s="233"/>
      <c r="B28" s="18" t="s">
        <v>29</v>
      </c>
      <c r="C28" s="45"/>
      <c r="D28" s="232"/>
      <c r="F28" s="4" t="s">
        <v>7</v>
      </c>
      <c r="G28" s="35">
        <v>1</v>
      </c>
    </row>
    <row r="29" spans="1:7" ht="24.6" x14ac:dyDescent="0.4">
      <c r="A29" s="233"/>
      <c r="B29" s="18" t="s">
        <v>28</v>
      </c>
      <c r="C29" s="45"/>
      <c r="D29" s="232"/>
      <c r="F29" s="40" t="s">
        <v>36</v>
      </c>
    </row>
    <row r="30" spans="1:7" ht="7.5" customHeight="1" x14ac:dyDescent="0.4">
      <c r="A30" s="233"/>
      <c r="B30" s="15"/>
      <c r="C30" s="51"/>
      <c r="D30" s="22"/>
      <c r="F30" s="40" t="s">
        <v>37</v>
      </c>
    </row>
    <row r="31" spans="1:7" x14ac:dyDescent="0.4">
      <c r="A31" s="233"/>
      <c r="B31" s="18" t="s">
        <v>30</v>
      </c>
      <c r="C31" s="44"/>
      <c r="D31" s="232"/>
      <c r="F31" s="4" t="s">
        <v>7</v>
      </c>
      <c r="G31" s="35">
        <v>1</v>
      </c>
    </row>
    <row r="32" spans="1:7" ht="24.6" x14ac:dyDescent="0.4">
      <c r="A32" s="233"/>
      <c r="B32" s="18" t="s">
        <v>31</v>
      </c>
      <c r="C32" s="44"/>
      <c r="D32" s="232"/>
      <c r="F32" s="40" t="s">
        <v>38</v>
      </c>
    </row>
    <row r="33" spans="1:7" ht="24.6" x14ac:dyDescent="0.4">
      <c r="A33" s="233"/>
      <c r="B33" s="18" t="s">
        <v>32</v>
      </c>
      <c r="C33" s="45"/>
      <c r="D33" s="232"/>
      <c r="F33" s="40" t="s">
        <v>39</v>
      </c>
    </row>
    <row r="34" spans="1:7" ht="6.75" customHeight="1" x14ac:dyDescent="0.4">
      <c r="A34" s="233"/>
      <c r="B34" s="16"/>
      <c r="C34" s="51"/>
      <c r="D34" s="22"/>
      <c r="F34" s="40" t="s">
        <v>40</v>
      </c>
    </row>
    <row r="35" spans="1:7" x14ac:dyDescent="0.4">
      <c r="A35" s="233"/>
      <c r="B35" s="8" t="s">
        <v>42</v>
      </c>
      <c r="C35" s="45"/>
      <c r="D35" s="232"/>
      <c r="F35" s="4" t="s">
        <v>7</v>
      </c>
      <c r="G35" s="35">
        <v>1</v>
      </c>
    </row>
    <row r="36" spans="1:7" ht="24.6" x14ac:dyDescent="0.4">
      <c r="A36" s="233"/>
      <c r="B36" s="18" t="s">
        <v>34</v>
      </c>
      <c r="C36" s="45"/>
      <c r="D36" s="232"/>
      <c r="F36" s="41" t="s">
        <v>33</v>
      </c>
    </row>
    <row r="37" spans="1:7" ht="6.75" customHeight="1" x14ac:dyDescent="0.4">
      <c r="A37" s="233"/>
      <c r="B37" s="16"/>
      <c r="C37" s="51"/>
      <c r="D37" s="22"/>
      <c r="F37" s="40" t="s">
        <v>41</v>
      </c>
    </row>
    <row r="38" spans="1:7" x14ac:dyDescent="0.4">
      <c r="A38" s="233"/>
      <c r="B38" s="8" t="s">
        <v>63</v>
      </c>
      <c r="C38" s="45"/>
      <c r="D38" s="232"/>
      <c r="F38" s="42" t="s">
        <v>7</v>
      </c>
      <c r="G38" s="35">
        <v>1</v>
      </c>
    </row>
    <row r="39" spans="1:7" x14ac:dyDescent="0.4">
      <c r="A39" s="233"/>
      <c r="B39" s="8" t="s">
        <v>64</v>
      </c>
      <c r="C39" s="44"/>
      <c r="D39" s="232"/>
      <c r="F39" s="41" t="s">
        <v>43</v>
      </c>
    </row>
    <row r="40" spans="1:7" ht="5.25" customHeight="1" x14ac:dyDescent="0.4">
      <c r="A40" s="234"/>
      <c r="B40" s="23"/>
      <c r="C40" s="52"/>
      <c r="D40" s="24"/>
      <c r="F40" s="41" t="s">
        <v>35</v>
      </c>
    </row>
    <row r="41" spans="1:7" ht="6" customHeight="1" x14ac:dyDescent="0.4">
      <c r="A41" s="227" t="s">
        <v>58</v>
      </c>
      <c r="B41" s="26"/>
      <c r="C41" s="53"/>
      <c r="D41" s="25"/>
      <c r="F41" s="4" t="s">
        <v>7</v>
      </c>
      <c r="G41" s="35">
        <v>1</v>
      </c>
    </row>
    <row r="42" spans="1:7" ht="24.6" x14ac:dyDescent="0.4">
      <c r="A42" s="228"/>
      <c r="B42" s="18" t="s">
        <v>44</v>
      </c>
      <c r="C42" s="45"/>
      <c r="D42" s="226"/>
      <c r="F42" s="4" t="s">
        <v>46</v>
      </c>
    </row>
    <row r="43" spans="1:7" ht="24.6" x14ac:dyDescent="0.4">
      <c r="A43" s="228"/>
      <c r="B43" s="18" t="s">
        <v>45</v>
      </c>
      <c r="C43" s="45"/>
      <c r="D43" s="226"/>
      <c r="F43" s="4" t="s">
        <v>47</v>
      </c>
    </row>
    <row r="44" spans="1:7" ht="5.25" customHeight="1" x14ac:dyDescent="0.4">
      <c r="A44" s="228"/>
      <c r="B44" s="25"/>
      <c r="C44" s="54"/>
      <c r="D44" s="25"/>
      <c r="F44" s="4" t="s">
        <v>7</v>
      </c>
      <c r="G44" s="35">
        <v>1</v>
      </c>
    </row>
    <row r="45" spans="1:7" x14ac:dyDescent="0.4">
      <c r="A45" s="228"/>
      <c r="B45" s="8" t="s">
        <v>65</v>
      </c>
      <c r="C45" s="45"/>
      <c r="D45" s="226"/>
      <c r="F45" s="4" t="s">
        <v>49</v>
      </c>
    </row>
    <row r="46" spans="1:7" ht="24.6" x14ac:dyDescent="0.4">
      <c r="A46" s="228"/>
      <c r="B46" s="18" t="s">
        <v>48</v>
      </c>
      <c r="C46" s="44"/>
      <c r="D46" s="226"/>
      <c r="F46" s="4" t="s">
        <v>50</v>
      </c>
    </row>
    <row r="47" spans="1:7" ht="5.25" customHeight="1" x14ac:dyDescent="0.4">
      <c r="A47" s="228"/>
      <c r="B47" s="25"/>
      <c r="C47" s="54"/>
      <c r="D47" s="25"/>
      <c r="F47" s="4" t="s">
        <v>7</v>
      </c>
      <c r="G47" s="35">
        <v>1</v>
      </c>
    </row>
    <row r="48" spans="1:7" x14ac:dyDescent="0.4">
      <c r="A48" s="228"/>
      <c r="B48" s="8" t="s">
        <v>66</v>
      </c>
      <c r="C48" s="45"/>
      <c r="D48" s="226"/>
      <c r="F48" s="41" t="s">
        <v>51</v>
      </c>
    </row>
    <row r="49" spans="1:7" x14ac:dyDescent="0.4">
      <c r="A49" s="228"/>
      <c r="B49" s="8" t="s">
        <v>67</v>
      </c>
      <c r="C49" s="44"/>
      <c r="D49" s="226"/>
      <c r="F49" s="41" t="s">
        <v>52</v>
      </c>
    </row>
    <row r="50" spans="1:7" ht="4.5" customHeight="1" x14ac:dyDescent="0.4">
      <c r="A50" s="228"/>
      <c r="B50" s="25"/>
      <c r="C50" s="54"/>
      <c r="D50" s="25"/>
      <c r="F50" s="4" t="s">
        <v>7</v>
      </c>
    </row>
    <row r="51" spans="1:7" x14ac:dyDescent="0.4">
      <c r="A51" s="228"/>
      <c r="B51" s="8" t="s">
        <v>68</v>
      </c>
      <c r="C51" s="45"/>
      <c r="D51" s="226"/>
      <c r="F51" s="41" t="s">
        <v>54</v>
      </c>
      <c r="G51" s="35">
        <v>1</v>
      </c>
    </row>
    <row r="52" spans="1:7" x14ac:dyDescent="0.4">
      <c r="A52" s="228"/>
      <c r="B52" s="8" t="s">
        <v>69</v>
      </c>
      <c r="C52" s="44"/>
      <c r="D52" s="226"/>
      <c r="F52" s="41" t="s">
        <v>53</v>
      </c>
    </row>
    <row r="53" spans="1:7" ht="5.25" customHeight="1" x14ac:dyDescent="0.4">
      <c r="A53" s="228"/>
      <c r="B53" s="25"/>
      <c r="C53" s="54"/>
      <c r="D53" s="25"/>
      <c r="F53" s="43" t="s">
        <v>7</v>
      </c>
      <c r="G53" s="35">
        <v>1</v>
      </c>
    </row>
    <row r="54" spans="1:7" x14ac:dyDescent="0.4">
      <c r="A54" s="228"/>
      <c r="B54" s="8" t="s">
        <v>70</v>
      </c>
      <c r="C54" s="44"/>
      <c r="D54" s="226"/>
      <c r="F54" s="41" t="s">
        <v>55</v>
      </c>
    </row>
    <row r="55" spans="1:7" x14ac:dyDescent="0.4">
      <c r="A55" s="228"/>
      <c r="B55" s="8" t="s">
        <v>71</v>
      </c>
      <c r="C55" s="44"/>
      <c r="D55" s="226"/>
      <c r="F55" s="41" t="s">
        <v>56</v>
      </c>
    </row>
    <row r="56" spans="1:7" ht="4.5" customHeight="1" x14ac:dyDescent="0.4">
      <c r="A56" s="228"/>
      <c r="B56" s="25"/>
      <c r="C56" s="54"/>
      <c r="D56" s="25"/>
    </row>
    <row r="57" spans="1:7" ht="6.75" customHeight="1" x14ac:dyDescent="0.4">
      <c r="A57" s="222" t="s">
        <v>57</v>
      </c>
      <c r="B57" s="27"/>
      <c r="C57" s="55"/>
      <c r="D57" s="28"/>
      <c r="F57" s="43" t="s">
        <v>7</v>
      </c>
      <c r="G57" s="35">
        <v>1</v>
      </c>
    </row>
    <row r="58" spans="1:7" ht="24.6" x14ac:dyDescent="0.4">
      <c r="A58" s="223"/>
      <c r="B58" s="18" t="s">
        <v>61</v>
      </c>
      <c r="C58" s="45"/>
      <c r="D58" s="225"/>
      <c r="F58" s="40" t="s">
        <v>61</v>
      </c>
    </row>
    <row r="59" spans="1:7" ht="24.6" x14ac:dyDescent="0.4">
      <c r="A59" s="223"/>
      <c r="B59" s="18" t="s">
        <v>62</v>
      </c>
      <c r="C59" s="45"/>
      <c r="D59" s="225"/>
      <c r="F59" s="40" t="s">
        <v>62</v>
      </c>
    </row>
    <row r="60" spans="1:7" ht="6" customHeight="1" x14ac:dyDescent="0.4">
      <c r="A60" s="223"/>
      <c r="B60" s="29"/>
      <c r="C60" s="56"/>
      <c r="D60" s="29"/>
      <c r="F60" s="43" t="s">
        <v>7</v>
      </c>
      <c r="G60" s="35">
        <v>1</v>
      </c>
    </row>
    <row r="61" spans="1:7" x14ac:dyDescent="0.4">
      <c r="A61" s="223"/>
      <c r="B61" s="8" t="s">
        <v>72</v>
      </c>
      <c r="C61" s="45"/>
      <c r="D61" s="225"/>
      <c r="F61" s="41" t="s">
        <v>72</v>
      </c>
    </row>
    <row r="62" spans="1:7" x14ac:dyDescent="0.4">
      <c r="A62" s="223"/>
      <c r="B62" s="8" t="s">
        <v>73</v>
      </c>
      <c r="C62" s="44"/>
      <c r="D62" s="225"/>
      <c r="F62" s="41" t="s">
        <v>73</v>
      </c>
    </row>
    <row r="63" spans="1:7" ht="6" customHeight="1" x14ac:dyDescent="0.4">
      <c r="A63" s="223"/>
      <c r="B63" s="29"/>
      <c r="C63" s="56"/>
      <c r="D63" s="29"/>
      <c r="F63" s="43" t="s">
        <v>7</v>
      </c>
      <c r="G63" s="35">
        <v>1</v>
      </c>
    </row>
    <row r="64" spans="1:7" x14ac:dyDescent="0.4">
      <c r="A64" s="223"/>
      <c r="B64" s="8" t="s">
        <v>74</v>
      </c>
      <c r="C64" s="45"/>
      <c r="D64" s="225"/>
      <c r="F64" s="41" t="s">
        <v>74</v>
      </c>
    </row>
    <row r="65" spans="1:7" x14ac:dyDescent="0.4">
      <c r="A65" s="223"/>
      <c r="B65" s="8" t="s">
        <v>75</v>
      </c>
      <c r="C65" s="45"/>
      <c r="D65" s="225"/>
      <c r="F65" s="41" t="s">
        <v>75</v>
      </c>
    </row>
    <row r="66" spans="1:7" x14ac:dyDescent="0.4">
      <c r="A66" s="223"/>
      <c r="B66" s="8" t="s">
        <v>76</v>
      </c>
      <c r="C66" s="44"/>
      <c r="D66" s="225"/>
      <c r="F66" s="41" t="s">
        <v>76</v>
      </c>
    </row>
    <row r="67" spans="1:7" ht="6" customHeight="1" x14ac:dyDescent="0.4">
      <c r="A67" s="223"/>
      <c r="B67" s="29"/>
      <c r="C67" s="56"/>
      <c r="D67" s="29"/>
      <c r="F67" s="43" t="s">
        <v>7</v>
      </c>
      <c r="G67" s="35">
        <v>1</v>
      </c>
    </row>
    <row r="68" spans="1:7" ht="24.6" x14ac:dyDescent="0.4">
      <c r="A68" s="223"/>
      <c r="B68" s="18" t="s">
        <v>77</v>
      </c>
      <c r="C68" s="45"/>
      <c r="D68" s="225"/>
      <c r="F68" s="40" t="s">
        <v>92</v>
      </c>
    </row>
    <row r="69" spans="1:7" ht="24.6" x14ac:dyDescent="0.4">
      <c r="A69" s="223"/>
      <c r="B69" s="18" t="s">
        <v>78</v>
      </c>
      <c r="C69" s="44"/>
      <c r="D69" s="225"/>
      <c r="F69" s="40" t="s">
        <v>93</v>
      </c>
    </row>
    <row r="70" spans="1:7" ht="6" customHeight="1" x14ac:dyDescent="0.4">
      <c r="A70" s="223"/>
      <c r="B70" s="29"/>
      <c r="C70" s="56"/>
      <c r="D70" s="29"/>
      <c r="F70" s="43" t="s">
        <v>7</v>
      </c>
      <c r="G70" s="35">
        <v>1</v>
      </c>
    </row>
    <row r="71" spans="1:7" x14ac:dyDescent="0.4">
      <c r="A71" s="223"/>
      <c r="B71" s="8" t="s">
        <v>79</v>
      </c>
      <c r="C71" s="44"/>
      <c r="D71" s="225"/>
      <c r="F71" s="41" t="s">
        <v>79</v>
      </c>
    </row>
    <row r="72" spans="1:7" x14ac:dyDescent="0.4">
      <c r="A72" s="223"/>
      <c r="B72" s="8" t="s">
        <v>80</v>
      </c>
      <c r="C72" s="44"/>
      <c r="D72" s="225"/>
      <c r="F72" s="41" t="s">
        <v>80</v>
      </c>
    </row>
    <row r="73" spans="1:7" ht="6.75" customHeight="1" x14ac:dyDescent="0.4">
      <c r="A73" s="224"/>
      <c r="B73" s="30"/>
      <c r="C73" s="57"/>
      <c r="D73" s="30"/>
      <c r="F73" s="43" t="s">
        <v>7</v>
      </c>
      <c r="G73" s="35">
        <v>1</v>
      </c>
    </row>
    <row r="74" spans="1:7" ht="7.5" customHeight="1" x14ac:dyDescent="0.4">
      <c r="A74" s="218" t="s">
        <v>81</v>
      </c>
      <c r="B74" s="31"/>
      <c r="C74" s="58"/>
      <c r="D74" s="32"/>
      <c r="F74" s="41" t="s">
        <v>82</v>
      </c>
    </row>
    <row r="75" spans="1:7" x14ac:dyDescent="0.4">
      <c r="A75" s="219"/>
      <c r="B75" s="8" t="s">
        <v>82</v>
      </c>
      <c r="C75" s="45"/>
      <c r="D75" s="221"/>
      <c r="F75" s="41" t="s">
        <v>83</v>
      </c>
    </row>
    <row r="76" spans="1:7" x14ac:dyDescent="0.4">
      <c r="A76" s="219"/>
      <c r="B76" s="8" t="s">
        <v>83</v>
      </c>
      <c r="C76" s="44"/>
      <c r="D76" s="221"/>
    </row>
    <row r="77" spans="1:7" ht="5.25" customHeight="1" x14ac:dyDescent="0.4">
      <c r="A77" s="219"/>
      <c r="B77" s="33"/>
      <c r="C77" s="59"/>
      <c r="D77" s="33"/>
      <c r="F77" s="43" t="s">
        <v>7</v>
      </c>
      <c r="G77" s="35">
        <v>1</v>
      </c>
    </row>
    <row r="78" spans="1:7" x14ac:dyDescent="0.4">
      <c r="A78" s="219"/>
      <c r="B78" s="8" t="s">
        <v>84</v>
      </c>
      <c r="C78" s="45"/>
      <c r="D78" s="221"/>
      <c r="F78" s="41" t="s">
        <v>84</v>
      </c>
    </row>
    <row r="79" spans="1:7" x14ac:dyDescent="0.4">
      <c r="A79" s="219"/>
      <c r="B79" s="8" t="s">
        <v>85</v>
      </c>
      <c r="C79" s="44"/>
      <c r="D79" s="221"/>
      <c r="F79" s="41" t="s">
        <v>85</v>
      </c>
    </row>
    <row r="80" spans="1:7" ht="5.25" customHeight="1" x14ac:dyDescent="0.4">
      <c r="A80" s="219"/>
      <c r="B80" s="33"/>
      <c r="C80" s="59"/>
      <c r="D80" s="33"/>
      <c r="F80" s="43" t="s">
        <v>7</v>
      </c>
      <c r="G80" s="35">
        <v>1</v>
      </c>
    </row>
    <row r="81" spans="1:7" x14ac:dyDescent="0.4">
      <c r="A81" s="219"/>
      <c r="B81" s="8" t="s">
        <v>86</v>
      </c>
      <c r="C81" s="45"/>
      <c r="D81" s="221"/>
      <c r="F81" s="41" t="s">
        <v>86</v>
      </c>
    </row>
    <row r="82" spans="1:7" x14ac:dyDescent="0.4">
      <c r="A82" s="219"/>
      <c r="B82" s="8" t="s">
        <v>87</v>
      </c>
      <c r="C82" s="45"/>
      <c r="D82" s="221"/>
      <c r="F82" s="41" t="s">
        <v>87</v>
      </c>
    </row>
    <row r="83" spans="1:7" ht="5.25" customHeight="1" x14ac:dyDescent="0.4">
      <c r="A83" s="219"/>
      <c r="B83" s="33"/>
      <c r="C83" s="59"/>
      <c r="D83" s="33"/>
      <c r="F83" s="43" t="s">
        <v>7</v>
      </c>
      <c r="G83" s="35">
        <v>1</v>
      </c>
    </row>
    <row r="84" spans="1:7" x14ac:dyDescent="0.4">
      <c r="A84" s="219"/>
      <c r="B84" s="8" t="s">
        <v>88</v>
      </c>
      <c r="C84" s="45"/>
      <c r="D84" s="221"/>
      <c r="F84" s="41" t="s">
        <v>88</v>
      </c>
    </row>
    <row r="85" spans="1:7" x14ac:dyDescent="0.4">
      <c r="A85" s="219"/>
      <c r="B85" s="8" t="s">
        <v>89</v>
      </c>
      <c r="C85" s="44"/>
      <c r="D85" s="221"/>
      <c r="F85" s="41" t="s">
        <v>89</v>
      </c>
    </row>
    <row r="86" spans="1:7" ht="3.75" customHeight="1" x14ac:dyDescent="0.4">
      <c r="A86" s="219"/>
      <c r="B86" s="33"/>
      <c r="C86" s="59"/>
      <c r="D86" s="33"/>
      <c r="F86" s="43" t="s">
        <v>7</v>
      </c>
      <c r="G86" s="35">
        <v>1</v>
      </c>
    </row>
    <row r="87" spans="1:7" x14ac:dyDescent="0.4">
      <c r="A87" s="219"/>
      <c r="B87" s="8" t="s">
        <v>90</v>
      </c>
      <c r="C87" s="44"/>
      <c r="D87" s="221"/>
      <c r="F87" s="41" t="s">
        <v>90</v>
      </c>
    </row>
    <row r="88" spans="1:7" x14ac:dyDescent="0.4">
      <c r="A88" s="219"/>
      <c r="B88" s="8" t="s">
        <v>91</v>
      </c>
      <c r="C88" s="44"/>
      <c r="D88" s="221"/>
      <c r="F88" s="41" t="s">
        <v>91</v>
      </c>
    </row>
    <row r="89" spans="1:7" ht="3.75" customHeight="1" x14ac:dyDescent="0.4">
      <c r="A89" s="220"/>
      <c r="B89" s="34"/>
      <c r="C89" s="60"/>
      <c r="D89" s="34"/>
    </row>
  </sheetData>
  <sheetProtection password="CFC0" sheet="1" objects="1" scenarios="1"/>
  <mergeCells count="32">
    <mergeCell ref="A74:A89"/>
    <mergeCell ref="D75:D76"/>
    <mergeCell ref="D78:D79"/>
    <mergeCell ref="D81:D82"/>
    <mergeCell ref="D84:D85"/>
    <mergeCell ref="D87:D88"/>
    <mergeCell ref="A57:A73"/>
    <mergeCell ref="D58:D59"/>
    <mergeCell ref="D61:D62"/>
    <mergeCell ref="D64:D66"/>
    <mergeCell ref="D68:D69"/>
    <mergeCell ref="D71:D72"/>
    <mergeCell ref="A41:A56"/>
    <mergeCell ref="D42:D43"/>
    <mergeCell ref="D45:D46"/>
    <mergeCell ref="D48:D49"/>
    <mergeCell ref="D51:D52"/>
    <mergeCell ref="D54:D55"/>
    <mergeCell ref="A25:A40"/>
    <mergeCell ref="D25:D26"/>
    <mergeCell ref="D28:D29"/>
    <mergeCell ref="D31:D33"/>
    <mergeCell ref="D35:D36"/>
    <mergeCell ref="D38:D39"/>
    <mergeCell ref="A1:D1"/>
    <mergeCell ref="A5:A22"/>
    <mergeCell ref="D5:D6"/>
    <mergeCell ref="D8:D9"/>
    <mergeCell ref="D11:D12"/>
    <mergeCell ref="D14:D15"/>
    <mergeCell ref="D17:D18"/>
    <mergeCell ref="D20:D22"/>
  </mergeCells>
  <conditionalFormatting sqref="I6:I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3622047244094491" right="0.23622047244094491" top="0.74803149606299213" bottom="0.74803149606299213" header="0.31496062992125984" footer="0.31496062992125984"/>
  <pageSetup scale="98" fitToHeight="19" orientation="landscape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81" r:id="rId4" name="Drop Down 1">
              <controlPr defaultSize="0" autoLine="0" autoPict="0">
                <anchor moveWithCells="1">
                  <from>
                    <xdr:col>3</xdr:col>
                    <xdr:colOff>30480</xdr:colOff>
                    <xdr:row>4</xdr:row>
                    <xdr:rowOff>15240</xdr:rowOff>
                  </from>
                  <to>
                    <xdr:col>3</xdr:col>
                    <xdr:colOff>872490</xdr:colOff>
                    <xdr:row>5</xdr:row>
                    <xdr:rowOff>41910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2" r:id="rId5" name="Drop Down 2">
              <controlPr defaultSize="0" autoLine="0" autoPict="0">
                <anchor moveWithCells="1">
                  <from>
                    <xdr:col>3</xdr:col>
                    <xdr:colOff>30480</xdr:colOff>
                    <xdr:row>7</xdr:row>
                    <xdr:rowOff>15240</xdr:rowOff>
                  </from>
                  <to>
                    <xdr:col>3</xdr:col>
                    <xdr:colOff>872490</xdr:colOff>
                    <xdr:row>8</xdr:row>
                    <xdr:rowOff>41910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3" r:id="rId6" name="Drop Down 3">
              <controlPr defaultSize="0" autoLine="0" autoPict="0">
                <anchor moveWithCells="1">
                  <from>
                    <xdr:col>3</xdr:col>
                    <xdr:colOff>30480</xdr:colOff>
                    <xdr:row>10</xdr:row>
                    <xdr:rowOff>15240</xdr:rowOff>
                  </from>
                  <to>
                    <xdr:col>3</xdr:col>
                    <xdr:colOff>872490</xdr:colOff>
                    <xdr:row>11</xdr:row>
                    <xdr:rowOff>41910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4" r:id="rId7" name="Drop Down 4">
              <controlPr defaultSize="0" autoLine="0" autoPict="0">
                <anchor moveWithCells="1">
                  <from>
                    <xdr:col>3</xdr:col>
                    <xdr:colOff>30480</xdr:colOff>
                    <xdr:row>13</xdr:row>
                    <xdr:rowOff>15240</xdr:rowOff>
                  </from>
                  <to>
                    <xdr:col>3</xdr:col>
                    <xdr:colOff>872490</xdr:colOff>
                    <xdr:row>14</xdr:row>
                    <xdr:rowOff>41910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5" r:id="rId8" name="Drop Down 5">
              <controlPr defaultSize="0" autoLine="0" autoPict="0">
                <anchor moveWithCells="1">
                  <from>
                    <xdr:col>3</xdr:col>
                    <xdr:colOff>30480</xdr:colOff>
                    <xdr:row>16</xdr:row>
                    <xdr:rowOff>15240</xdr:rowOff>
                  </from>
                  <to>
                    <xdr:col>3</xdr:col>
                    <xdr:colOff>872490</xdr:colOff>
                    <xdr:row>17</xdr:row>
                    <xdr:rowOff>41910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6" r:id="rId9" name="Drop Down 6">
              <controlPr defaultSize="0" autoLine="0" autoPict="0">
                <anchor moveWithCells="1">
                  <from>
                    <xdr:col>3</xdr:col>
                    <xdr:colOff>30480</xdr:colOff>
                    <xdr:row>19</xdr:row>
                    <xdr:rowOff>15240</xdr:rowOff>
                  </from>
                  <to>
                    <xdr:col>3</xdr:col>
                    <xdr:colOff>872490</xdr:colOff>
                    <xdr:row>20</xdr:row>
                    <xdr:rowOff>41910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7" r:id="rId10" name="Drop Down 7">
              <controlPr defaultSize="0" autoLine="0" autoPict="0">
                <anchor moveWithCells="1">
                  <from>
                    <xdr:col>3</xdr:col>
                    <xdr:colOff>30480</xdr:colOff>
                    <xdr:row>24</xdr:row>
                    <xdr:rowOff>15240</xdr:rowOff>
                  </from>
                  <to>
                    <xdr:col>3</xdr:col>
                    <xdr:colOff>872490</xdr:colOff>
                    <xdr:row>25</xdr:row>
                    <xdr:rowOff>41910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8" r:id="rId11" name="Drop Down 8">
              <controlPr defaultSize="0" autoLine="0" autoPict="0">
                <anchor moveWithCells="1">
                  <from>
                    <xdr:col>3</xdr:col>
                    <xdr:colOff>11430</xdr:colOff>
                    <xdr:row>27</xdr:row>
                    <xdr:rowOff>15240</xdr:rowOff>
                  </from>
                  <to>
                    <xdr:col>3</xdr:col>
                    <xdr:colOff>937260</xdr:colOff>
                    <xdr:row>27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9" r:id="rId12" name="Drop Down 9">
              <controlPr defaultSize="0" autoLine="0" autoPict="0">
                <anchor moveWithCells="1">
                  <from>
                    <xdr:col>3</xdr:col>
                    <xdr:colOff>15240</xdr:colOff>
                    <xdr:row>30</xdr:row>
                    <xdr:rowOff>15240</xdr:rowOff>
                  </from>
                  <to>
                    <xdr:col>3</xdr:col>
                    <xdr:colOff>922020</xdr:colOff>
                    <xdr:row>30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0" r:id="rId13" name="Drop Down 10">
              <controlPr defaultSize="0" autoLine="0" autoPict="0">
                <anchor moveWithCells="1">
                  <from>
                    <xdr:col>3</xdr:col>
                    <xdr:colOff>30480</xdr:colOff>
                    <xdr:row>34</xdr:row>
                    <xdr:rowOff>15240</xdr:rowOff>
                  </from>
                  <to>
                    <xdr:col>3</xdr:col>
                    <xdr:colOff>872490</xdr:colOff>
                    <xdr:row>35</xdr:row>
                    <xdr:rowOff>41910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1" r:id="rId14" name="Drop Down 11">
              <controlPr defaultSize="0" autoLine="0" autoPict="0">
                <anchor moveWithCells="1">
                  <from>
                    <xdr:col>3</xdr:col>
                    <xdr:colOff>30480</xdr:colOff>
                    <xdr:row>37</xdr:row>
                    <xdr:rowOff>15240</xdr:rowOff>
                  </from>
                  <to>
                    <xdr:col>3</xdr:col>
                    <xdr:colOff>872490</xdr:colOff>
                    <xdr:row>38</xdr:row>
                    <xdr:rowOff>41910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2" r:id="rId15" name="Drop Down 12">
              <controlPr defaultSize="0" autoLine="0" autoPict="0">
                <anchor moveWithCells="1">
                  <from>
                    <xdr:col>3</xdr:col>
                    <xdr:colOff>30480</xdr:colOff>
                    <xdr:row>41</xdr:row>
                    <xdr:rowOff>15240</xdr:rowOff>
                  </from>
                  <to>
                    <xdr:col>3</xdr:col>
                    <xdr:colOff>872490</xdr:colOff>
                    <xdr:row>41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3" r:id="rId16" name="Drop Down 13">
              <controlPr defaultSize="0" autoLine="0" autoPict="0">
                <anchor moveWithCells="1">
                  <from>
                    <xdr:col>3</xdr:col>
                    <xdr:colOff>30480</xdr:colOff>
                    <xdr:row>44</xdr:row>
                    <xdr:rowOff>15240</xdr:rowOff>
                  </from>
                  <to>
                    <xdr:col>3</xdr:col>
                    <xdr:colOff>872490</xdr:colOff>
                    <xdr:row>45</xdr:row>
                    <xdr:rowOff>41910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4" r:id="rId17" name="Drop Down 14">
              <controlPr defaultSize="0" autoLine="0" autoPict="0">
                <anchor moveWithCells="1">
                  <from>
                    <xdr:col>3</xdr:col>
                    <xdr:colOff>30480</xdr:colOff>
                    <xdr:row>47</xdr:row>
                    <xdr:rowOff>15240</xdr:rowOff>
                  </from>
                  <to>
                    <xdr:col>3</xdr:col>
                    <xdr:colOff>872490</xdr:colOff>
                    <xdr:row>48</xdr:row>
                    <xdr:rowOff>41910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5" r:id="rId18" name="Drop Down 15">
              <controlPr defaultSize="0" autoLine="0" autoPict="0">
                <anchor moveWithCells="1">
                  <from>
                    <xdr:col>3</xdr:col>
                    <xdr:colOff>30480</xdr:colOff>
                    <xdr:row>50</xdr:row>
                    <xdr:rowOff>15240</xdr:rowOff>
                  </from>
                  <to>
                    <xdr:col>3</xdr:col>
                    <xdr:colOff>872490</xdr:colOff>
                    <xdr:row>51</xdr:row>
                    <xdr:rowOff>41910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6" r:id="rId19" name="Drop Down 16">
              <controlPr defaultSize="0" autoLine="0" autoPict="0">
                <anchor moveWithCells="1">
                  <from>
                    <xdr:col>3</xdr:col>
                    <xdr:colOff>30480</xdr:colOff>
                    <xdr:row>53</xdr:row>
                    <xdr:rowOff>15240</xdr:rowOff>
                  </from>
                  <to>
                    <xdr:col>3</xdr:col>
                    <xdr:colOff>872490</xdr:colOff>
                    <xdr:row>54</xdr:row>
                    <xdr:rowOff>41910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7" r:id="rId20" name="Drop Down 17">
              <controlPr defaultSize="0" autoLine="0" autoPict="0">
                <anchor moveWithCells="1">
                  <from>
                    <xdr:col>3</xdr:col>
                    <xdr:colOff>3810</xdr:colOff>
                    <xdr:row>57</xdr:row>
                    <xdr:rowOff>15240</xdr:rowOff>
                  </from>
                  <to>
                    <xdr:col>3</xdr:col>
                    <xdr:colOff>948690</xdr:colOff>
                    <xdr:row>57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8" r:id="rId21" name="Drop Down 18">
              <controlPr defaultSize="0" autoLine="0" autoPict="0">
                <anchor moveWithCells="1">
                  <from>
                    <xdr:col>3</xdr:col>
                    <xdr:colOff>30480</xdr:colOff>
                    <xdr:row>60</xdr:row>
                    <xdr:rowOff>15240</xdr:rowOff>
                  </from>
                  <to>
                    <xdr:col>3</xdr:col>
                    <xdr:colOff>872490</xdr:colOff>
                    <xdr:row>61</xdr:row>
                    <xdr:rowOff>41910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9" r:id="rId22" name="Drop Down 19">
              <controlPr defaultSize="0" autoLine="0" autoPict="0">
                <anchor moveWithCells="1">
                  <from>
                    <xdr:col>3</xdr:col>
                    <xdr:colOff>30480</xdr:colOff>
                    <xdr:row>63</xdr:row>
                    <xdr:rowOff>15240</xdr:rowOff>
                  </from>
                  <to>
                    <xdr:col>3</xdr:col>
                    <xdr:colOff>872490</xdr:colOff>
                    <xdr:row>64</xdr:row>
                    <xdr:rowOff>41910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0" r:id="rId23" name="Drop Down 20">
              <controlPr defaultSize="0" autoLine="0" autoPict="0">
                <anchor moveWithCells="1">
                  <from>
                    <xdr:col>3</xdr:col>
                    <xdr:colOff>30480</xdr:colOff>
                    <xdr:row>67</xdr:row>
                    <xdr:rowOff>15240</xdr:rowOff>
                  </from>
                  <to>
                    <xdr:col>3</xdr:col>
                    <xdr:colOff>872490</xdr:colOff>
                    <xdr:row>67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1" r:id="rId24" name="Drop Down 21">
              <controlPr defaultSize="0" autoLine="0" autoPict="0">
                <anchor moveWithCells="1">
                  <from>
                    <xdr:col>3</xdr:col>
                    <xdr:colOff>30480</xdr:colOff>
                    <xdr:row>70</xdr:row>
                    <xdr:rowOff>15240</xdr:rowOff>
                  </from>
                  <to>
                    <xdr:col>3</xdr:col>
                    <xdr:colOff>872490</xdr:colOff>
                    <xdr:row>71</xdr:row>
                    <xdr:rowOff>41910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2" r:id="rId25" name="Drop Down 22">
              <controlPr defaultSize="0" autoLine="0" autoPict="0">
                <anchor moveWithCells="1">
                  <from>
                    <xdr:col>3</xdr:col>
                    <xdr:colOff>30480</xdr:colOff>
                    <xdr:row>74</xdr:row>
                    <xdr:rowOff>15240</xdr:rowOff>
                  </from>
                  <to>
                    <xdr:col>3</xdr:col>
                    <xdr:colOff>872490</xdr:colOff>
                    <xdr:row>75</xdr:row>
                    <xdr:rowOff>41910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3" r:id="rId26" name="Drop Down 23">
              <controlPr defaultSize="0" autoLine="0" autoPict="0">
                <anchor moveWithCells="1">
                  <from>
                    <xdr:col>3</xdr:col>
                    <xdr:colOff>30480</xdr:colOff>
                    <xdr:row>77</xdr:row>
                    <xdr:rowOff>15240</xdr:rowOff>
                  </from>
                  <to>
                    <xdr:col>3</xdr:col>
                    <xdr:colOff>872490</xdr:colOff>
                    <xdr:row>78</xdr:row>
                    <xdr:rowOff>41910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4" r:id="rId27" name="Drop Down 24">
              <controlPr defaultSize="0" autoLine="0" autoPict="0">
                <anchor moveWithCells="1">
                  <from>
                    <xdr:col>3</xdr:col>
                    <xdr:colOff>30480</xdr:colOff>
                    <xdr:row>80</xdr:row>
                    <xdr:rowOff>15240</xdr:rowOff>
                  </from>
                  <to>
                    <xdr:col>3</xdr:col>
                    <xdr:colOff>872490</xdr:colOff>
                    <xdr:row>81</xdr:row>
                    <xdr:rowOff>41910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5" r:id="rId28" name="Drop Down 25">
              <controlPr defaultSize="0" autoLine="0" autoPict="0">
                <anchor moveWithCells="1">
                  <from>
                    <xdr:col>3</xdr:col>
                    <xdr:colOff>30480</xdr:colOff>
                    <xdr:row>83</xdr:row>
                    <xdr:rowOff>15240</xdr:rowOff>
                  </from>
                  <to>
                    <xdr:col>3</xdr:col>
                    <xdr:colOff>872490</xdr:colOff>
                    <xdr:row>84</xdr:row>
                    <xdr:rowOff>41910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6" r:id="rId29" name="Drop Down 26">
              <controlPr defaultSize="0" autoLine="0" autoPict="0">
                <anchor moveWithCells="1">
                  <from>
                    <xdr:col>3</xdr:col>
                    <xdr:colOff>30480</xdr:colOff>
                    <xdr:row>86</xdr:row>
                    <xdr:rowOff>15240</xdr:rowOff>
                  </from>
                  <to>
                    <xdr:col>3</xdr:col>
                    <xdr:colOff>872490</xdr:colOff>
                    <xdr:row>87</xdr:row>
                    <xdr:rowOff>41910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1"/>
  <sheetViews>
    <sheetView showGridLines="0" workbookViewId="0">
      <pane ySplit="3" topLeftCell="A6" activePane="bottomLeft" state="frozen"/>
      <selection pane="bottomLeft" activeCell="E7" sqref="E7"/>
    </sheetView>
  </sheetViews>
  <sheetFormatPr defaultRowHeight="12.3" x14ac:dyDescent="0.4"/>
  <cols>
    <col min="1" max="1" width="2.71875" customWidth="1"/>
    <col min="2" max="2" width="7.71875" customWidth="1"/>
    <col min="3" max="3" width="9.1640625" style="66"/>
    <col min="4" max="4" width="46.5546875" style="87" customWidth="1"/>
    <col min="5" max="5" width="9.1640625" style="66"/>
    <col min="6" max="6" width="7.71875" customWidth="1"/>
    <col min="7" max="7" width="1.44140625" customWidth="1"/>
    <col min="8" max="8" width="4.5546875" style="3" hidden="1" customWidth="1"/>
    <col min="9" max="9" width="4.71875" style="3" hidden="1" customWidth="1"/>
    <col min="10" max="10" width="3.27734375" style="3" hidden="1" customWidth="1"/>
    <col min="11" max="11" width="3.1640625" style="3" hidden="1" customWidth="1"/>
    <col min="12" max="12" width="3.27734375" style="3" hidden="1" customWidth="1"/>
    <col min="13" max="13" width="14.1640625" style="129" customWidth="1"/>
    <col min="20" max="20" width="11.83203125" customWidth="1"/>
  </cols>
  <sheetData>
    <row r="1" spans="1:13" ht="20.100000000000001" x14ac:dyDescent="0.7">
      <c r="A1" s="237" t="s">
        <v>222</v>
      </c>
      <c r="B1" s="237"/>
      <c r="C1" s="237"/>
      <c r="D1" s="237"/>
      <c r="E1" s="237"/>
      <c r="F1" s="237"/>
      <c r="G1" s="237"/>
    </row>
    <row r="2" spans="1:13" ht="5.25" customHeight="1" x14ac:dyDescent="0.4"/>
    <row r="3" spans="1:13" s="106" customFormat="1" ht="17.7" x14ac:dyDescent="0.6">
      <c r="B3" s="238" t="s">
        <v>209</v>
      </c>
      <c r="C3" s="238"/>
      <c r="D3" s="105" t="s">
        <v>211</v>
      </c>
      <c r="E3" s="239" t="s">
        <v>210</v>
      </c>
      <c r="F3" s="239"/>
      <c r="H3" s="165"/>
      <c r="I3" s="165"/>
      <c r="J3" s="165"/>
      <c r="K3" s="165"/>
      <c r="L3" s="165"/>
      <c r="M3" s="130"/>
    </row>
    <row r="4" spans="1:13" ht="17.25" customHeight="1" x14ac:dyDescent="0.4">
      <c r="B4" s="230" t="s">
        <v>60</v>
      </c>
      <c r="C4" s="76" t="str">
        <f>IF('5 Variáveis Homem'!G3=2, "sim", "não")</f>
        <v>não</v>
      </c>
      <c r="D4" s="82" t="s">
        <v>1</v>
      </c>
      <c r="E4" s="79" t="str">
        <f>IF('5 Variáveis Mulher'!G3=2, "sim", "não")</f>
        <v>não</v>
      </c>
      <c r="F4" s="243" t="s">
        <v>60</v>
      </c>
      <c r="H4" s="3" t="str">
        <f>C4</f>
        <v>não</v>
      </c>
      <c r="I4" s="3" t="str">
        <f>E4</f>
        <v>não</v>
      </c>
      <c r="J4" s="4" t="str">
        <f>IF(H4="não", "0", "1")</f>
        <v>0</v>
      </c>
      <c r="K4" s="4" t="str">
        <f>IF(I4="não", "0", "1")</f>
        <v>0</v>
      </c>
      <c r="L4" s="3">
        <f>J4+K4</f>
        <v>0</v>
      </c>
      <c r="M4" s="129" t="str">
        <f>IF(L4=2, "Convergência", "")</f>
        <v/>
      </c>
    </row>
    <row r="5" spans="1:13" ht="17.25" customHeight="1" thickBot="1" x14ac:dyDescent="0.45">
      <c r="B5" s="230"/>
      <c r="C5" s="92" t="str">
        <f>IF('5 Variáveis Homem'!G3=3, "sim", "não")</f>
        <v>não</v>
      </c>
      <c r="D5" s="93" t="s">
        <v>2</v>
      </c>
      <c r="E5" s="94" t="str">
        <f>IF('5 Variáveis Mulher'!G3=3, "sim", "não")</f>
        <v>não</v>
      </c>
      <c r="F5" s="243"/>
      <c r="H5" s="3" t="str">
        <f t="shared" ref="H5:H11" si="0">C5</f>
        <v>não</v>
      </c>
      <c r="I5" s="3" t="str">
        <f t="shared" ref="I5:I11" si="1">E5</f>
        <v>não</v>
      </c>
      <c r="J5" s="4" t="str">
        <f t="shared" ref="J5:J11" si="2">IF(H5="não", "0", "1")</f>
        <v>0</v>
      </c>
      <c r="K5" s="4" t="str">
        <f t="shared" ref="K5:K11" si="3">IF(I5="não", "0", "1")</f>
        <v>0</v>
      </c>
      <c r="L5" s="3">
        <f t="shared" ref="L5:L11" si="4">J5+K5</f>
        <v>0</v>
      </c>
      <c r="M5" s="129" t="str">
        <f t="shared" ref="M5:M58" si="5">IF(L5=2, "Convergência", "")</f>
        <v/>
      </c>
    </row>
    <row r="6" spans="1:13" ht="17.25" customHeight="1" x14ac:dyDescent="0.4">
      <c r="B6" s="230"/>
      <c r="C6" s="66" t="str">
        <f>IF('5 Variáveis Homem'!G8=2, "sim", "não")</f>
        <v>não</v>
      </c>
      <c r="D6" s="83" t="s">
        <v>9</v>
      </c>
      <c r="E6" s="66" t="str">
        <f>IF('5 Variáveis Mulher'!G8=2, "sim", "não")</f>
        <v>não</v>
      </c>
      <c r="F6" s="243"/>
      <c r="H6" s="3" t="str">
        <f t="shared" si="0"/>
        <v>não</v>
      </c>
      <c r="I6" s="3" t="str">
        <f t="shared" si="1"/>
        <v>não</v>
      </c>
      <c r="J6" s="4" t="str">
        <f t="shared" si="2"/>
        <v>0</v>
      </c>
      <c r="K6" s="4" t="str">
        <f t="shared" si="3"/>
        <v>0</v>
      </c>
      <c r="L6" s="3">
        <f t="shared" si="4"/>
        <v>0</v>
      </c>
      <c r="M6" s="129" t="str">
        <f t="shared" si="5"/>
        <v/>
      </c>
    </row>
    <row r="7" spans="1:13" ht="17.25" customHeight="1" thickBot="1" x14ac:dyDescent="0.45">
      <c r="B7" s="230"/>
      <c r="C7" s="96" t="str">
        <f>IF('5 Variáveis Homem'!G8=3, "sim", "não")</f>
        <v>não</v>
      </c>
      <c r="D7" s="93" t="s">
        <v>10</v>
      </c>
      <c r="E7" s="96" t="str">
        <f>IF('5 Variáveis Mulher'!G8=3, "sim", "não")</f>
        <v>não</v>
      </c>
      <c r="F7" s="243"/>
      <c r="H7" s="3" t="str">
        <f t="shared" si="0"/>
        <v>não</v>
      </c>
      <c r="I7" s="3" t="str">
        <f t="shared" si="1"/>
        <v>não</v>
      </c>
      <c r="J7" s="4" t="str">
        <f t="shared" si="2"/>
        <v>0</v>
      </c>
      <c r="K7" s="4" t="str">
        <f t="shared" si="3"/>
        <v>0</v>
      </c>
      <c r="L7" s="3">
        <f t="shared" si="4"/>
        <v>0</v>
      </c>
      <c r="M7" s="129" t="str">
        <f t="shared" si="5"/>
        <v/>
      </c>
    </row>
    <row r="8" spans="1:13" ht="17.25" customHeight="1" x14ac:dyDescent="0.4">
      <c r="B8" s="230"/>
      <c r="C8" s="78" t="str">
        <f>IF('5 Variáveis Homem'!G11=2, "sim", "não")</f>
        <v>não</v>
      </c>
      <c r="D8" s="83" t="s">
        <v>208</v>
      </c>
      <c r="E8" s="81" t="str">
        <f>IF('5 Variáveis Mulher'!G11=2, "sim", "não")</f>
        <v>não</v>
      </c>
      <c r="F8" s="243"/>
      <c r="H8" s="3" t="str">
        <f t="shared" si="0"/>
        <v>não</v>
      </c>
      <c r="I8" s="3" t="str">
        <f t="shared" si="1"/>
        <v>não</v>
      </c>
      <c r="J8" s="4" t="str">
        <f t="shared" si="2"/>
        <v>0</v>
      </c>
      <c r="K8" s="4" t="str">
        <f t="shared" si="3"/>
        <v>0</v>
      </c>
      <c r="L8" s="3">
        <f t="shared" si="4"/>
        <v>0</v>
      </c>
      <c r="M8" s="129" t="str">
        <f t="shared" si="5"/>
        <v/>
      </c>
    </row>
    <row r="9" spans="1:13" ht="17.25" customHeight="1" thickBot="1" x14ac:dyDescent="0.45">
      <c r="B9" s="230"/>
      <c r="C9" s="92" t="str">
        <f>IF('5 Variáveis Homem'!G11=3, "sim", "não")</f>
        <v>não</v>
      </c>
      <c r="D9" s="93" t="s">
        <v>11</v>
      </c>
      <c r="E9" s="94" t="str">
        <f>IF('5 Variáveis Mulher'!G11=3, "sim", "não")</f>
        <v>não</v>
      </c>
      <c r="F9" s="243"/>
      <c r="H9" s="3" t="str">
        <f t="shared" si="0"/>
        <v>não</v>
      </c>
      <c r="I9" s="3" t="str">
        <f t="shared" si="1"/>
        <v>não</v>
      </c>
      <c r="J9" s="4" t="str">
        <f t="shared" si="2"/>
        <v>0</v>
      </c>
      <c r="K9" s="4" t="str">
        <f t="shared" si="3"/>
        <v>0</v>
      </c>
      <c r="L9" s="3">
        <f t="shared" si="4"/>
        <v>0</v>
      </c>
      <c r="M9" s="129" t="str">
        <f t="shared" si="5"/>
        <v/>
      </c>
    </row>
    <row r="10" spans="1:13" ht="17.25" customHeight="1" x14ac:dyDescent="0.4">
      <c r="B10" s="230"/>
      <c r="C10" s="66" t="str">
        <f>IF('5 Variáveis Homem'!G14=2, "sim", "não")</f>
        <v>não</v>
      </c>
      <c r="D10" s="83" t="s">
        <v>17</v>
      </c>
      <c r="E10" s="66" t="str">
        <f>IF('5 Variáveis Mulher'!G14=2, "sim", "não")</f>
        <v>não</v>
      </c>
      <c r="F10" s="243"/>
      <c r="H10" s="3" t="str">
        <f t="shared" si="0"/>
        <v>não</v>
      </c>
      <c r="I10" s="3" t="str">
        <f t="shared" si="1"/>
        <v>não</v>
      </c>
      <c r="J10" s="4" t="str">
        <f t="shared" si="2"/>
        <v>0</v>
      </c>
      <c r="K10" s="4" t="str">
        <f t="shared" si="3"/>
        <v>0</v>
      </c>
      <c r="L10" s="3">
        <f t="shared" si="4"/>
        <v>0</v>
      </c>
      <c r="M10" s="129" t="str">
        <f t="shared" si="5"/>
        <v/>
      </c>
    </row>
    <row r="11" spans="1:13" ht="17.25" customHeight="1" thickBot="1" x14ac:dyDescent="0.45">
      <c r="B11" s="230"/>
      <c r="C11" s="96" t="str">
        <f>IF('5 Variáveis Homem'!G14=3, "sim", "não")</f>
        <v>não</v>
      </c>
      <c r="D11" s="93" t="s">
        <v>18</v>
      </c>
      <c r="E11" s="96" t="str">
        <f>IF('5 Variáveis Mulher'!G14=3, "sim", "não")</f>
        <v>não</v>
      </c>
      <c r="F11" s="243"/>
      <c r="H11" s="3" t="str">
        <f t="shared" si="0"/>
        <v>não</v>
      </c>
      <c r="I11" s="3" t="str">
        <f t="shared" si="1"/>
        <v>não</v>
      </c>
      <c r="J11" s="4" t="str">
        <f t="shared" si="2"/>
        <v>0</v>
      </c>
      <c r="K11" s="4" t="str">
        <f t="shared" si="3"/>
        <v>0</v>
      </c>
      <c r="L11" s="3">
        <f t="shared" si="4"/>
        <v>0</v>
      </c>
      <c r="M11" s="129" t="str">
        <f t="shared" si="5"/>
        <v/>
      </c>
    </row>
    <row r="12" spans="1:13" ht="17.25" customHeight="1" x14ac:dyDescent="0.4">
      <c r="B12" s="230"/>
      <c r="C12" s="78" t="str">
        <f>IF('5 Variáveis Homem'!G17=2, "sim", "não")</f>
        <v>não</v>
      </c>
      <c r="D12" s="83" t="s">
        <v>21</v>
      </c>
      <c r="E12" s="81" t="str">
        <f>IF('5 Variáveis Mulher'!G17=2, "sim", "não")</f>
        <v>não</v>
      </c>
      <c r="F12" s="243"/>
      <c r="H12" s="3" t="str">
        <f t="shared" ref="H12:H14" si="6">C12</f>
        <v>não</v>
      </c>
      <c r="I12" s="3" t="str">
        <f t="shared" ref="I12:I14" si="7">E12</f>
        <v>não</v>
      </c>
      <c r="J12" s="4" t="str">
        <f t="shared" ref="J12:J14" si="8">IF(H12="não", "0", "1")</f>
        <v>0</v>
      </c>
      <c r="K12" s="4" t="str">
        <f t="shared" ref="K12:K14" si="9">IF(I12="não", "0", "1")</f>
        <v>0</v>
      </c>
      <c r="L12" s="3">
        <f t="shared" ref="L12:L14" si="10">J12+K12</f>
        <v>0</v>
      </c>
      <c r="M12" s="129" t="str">
        <f t="shared" si="5"/>
        <v/>
      </c>
    </row>
    <row r="13" spans="1:13" ht="17.25" customHeight="1" thickBot="1" x14ac:dyDescent="0.45">
      <c r="B13" s="230"/>
      <c r="C13" s="92" t="str">
        <f>IF('5 Variáveis Homem'!G17=3, "sim", "não")</f>
        <v>não</v>
      </c>
      <c r="D13" s="93" t="s">
        <v>22</v>
      </c>
      <c r="E13" s="94" t="str">
        <f>IF('5 Variáveis Mulher'!G17=3, "sim", "não")</f>
        <v>não</v>
      </c>
      <c r="F13" s="243"/>
      <c r="H13" s="3" t="str">
        <f t="shared" si="6"/>
        <v>não</v>
      </c>
      <c r="I13" s="3" t="str">
        <f t="shared" si="7"/>
        <v>não</v>
      </c>
      <c r="J13" s="4" t="str">
        <f t="shared" si="8"/>
        <v>0</v>
      </c>
      <c r="K13" s="4" t="str">
        <f t="shared" si="9"/>
        <v>0</v>
      </c>
      <c r="L13" s="3">
        <f t="shared" si="10"/>
        <v>0</v>
      </c>
      <c r="M13" s="129" t="str">
        <f t="shared" si="5"/>
        <v/>
      </c>
    </row>
    <row r="14" spans="1:13" ht="17.25" customHeight="1" x14ac:dyDescent="0.4">
      <c r="B14" s="233" t="s">
        <v>59</v>
      </c>
      <c r="C14" s="107" t="str">
        <f>IF('5 Variáveis Homem'!G20=2, "sim", "não")</f>
        <v>não</v>
      </c>
      <c r="D14" s="108" t="s">
        <v>23</v>
      </c>
      <c r="E14" s="107" t="str">
        <f>IF('5 Variáveis Mulher'!G20=2, "sim", "não")</f>
        <v>não</v>
      </c>
      <c r="F14" s="235" t="s">
        <v>59</v>
      </c>
      <c r="H14" s="3" t="str">
        <f t="shared" si="6"/>
        <v>não</v>
      </c>
      <c r="I14" s="3" t="str">
        <f t="shared" si="7"/>
        <v>não</v>
      </c>
      <c r="J14" s="4" t="str">
        <f t="shared" si="8"/>
        <v>0</v>
      </c>
      <c r="K14" s="4" t="str">
        <f t="shared" si="9"/>
        <v>0</v>
      </c>
      <c r="L14" s="3">
        <f t="shared" si="10"/>
        <v>0</v>
      </c>
      <c r="M14" s="129" t="str">
        <f t="shared" si="5"/>
        <v/>
      </c>
    </row>
    <row r="15" spans="1:13" ht="17.25" customHeight="1" x14ac:dyDescent="0.4">
      <c r="B15" s="233"/>
      <c r="C15" s="66" t="str">
        <f>IF('5 Variáveis Homem'!G20=3, "sim", "não")</f>
        <v>não</v>
      </c>
      <c r="D15" s="84" t="s">
        <v>24</v>
      </c>
      <c r="E15" s="66" t="str">
        <f>IF('5 Variáveis Mulher'!G20=3, "sim", "não")</f>
        <v>não</v>
      </c>
      <c r="F15" s="235"/>
      <c r="H15" s="3" t="str">
        <f t="shared" ref="H15:H16" si="11">C15</f>
        <v>não</v>
      </c>
      <c r="I15" s="3" t="str">
        <f t="shared" ref="I15:I16" si="12">E15</f>
        <v>não</v>
      </c>
      <c r="J15" s="4" t="str">
        <f t="shared" ref="J15:J16" si="13">IF(H15="não", "0", "1")</f>
        <v>0</v>
      </c>
      <c r="K15" s="4" t="str">
        <f t="shared" ref="K15:K16" si="14">IF(I15="não", "0", "1")</f>
        <v>0</v>
      </c>
      <c r="L15" s="3">
        <f t="shared" ref="L15:L16" si="15">J15+K15</f>
        <v>0</v>
      </c>
      <c r="M15" s="129" t="str">
        <f t="shared" si="5"/>
        <v/>
      </c>
    </row>
    <row r="16" spans="1:13" ht="17.25" customHeight="1" thickBot="1" x14ac:dyDescent="0.45">
      <c r="B16" s="233"/>
      <c r="C16" s="96" t="str">
        <f>IF('5 Variáveis Homem'!G20=4, "sim", "não")</f>
        <v>não</v>
      </c>
      <c r="D16" s="97" t="s">
        <v>25</v>
      </c>
      <c r="E16" s="96" t="str">
        <f>IF('5 Variáveis Mulher'!G20=4, "sim", "não")</f>
        <v>não</v>
      </c>
      <c r="F16" s="235"/>
      <c r="H16" s="3" t="str">
        <f t="shared" si="11"/>
        <v>não</v>
      </c>
      <c r="I16" s="3" t="str">
        <f t="shared" si="12"/>
        <v>não</v>
      </c>
      <c r="J16" s="4" t="str">
        <f t="shared" si="13"/>
        <v>0</v>
      </c>
      <c r="K16" s="4" t="str">
        <f t="shared" si="14"/>
        <v>0</v>
      </c>
      <c r="L16" s="3">
        <f t="shared" si="15"/>
        <v>0</v>
      </c>
      <c r="M16" s="129" t="str">
        <f t="shared" si="5"/>
        <v/>
      </c>
    </row>
    <row r="17" spans="2:13" ht="17.25" customHeight="1" x14ac:dyDescent="0.4">
      <c r="B17" s="233"/>
      <c r="C17" s="78" t="str">
        <f>IF('5 Variáveis Homem'!G25=2, "sim", "não")</f>
        <v>não</v>
      </c>
      <c r="D17" s="84" t="s">
        <v>26</v>
      </c>
      <c r="E17" s="81" t="str">
        <f>IF('5 Variáveis Mulher'!G25=2, "sim", "não")</f>
        <v>não</v>
      </c>
      <c r="F17" s="235"/>
      <c r="H17" s="3" t="str">
        <f t="shared" ref="H17:H58" si="16">C17</f>
        <v>não</v>
      </c>
      <c r="I17" s="3" t="str">
        <f t="shared" ref="I17:I58" si="17">E17</f>
        <v>não</v>
      </c>
      <c r="J17" s="4" t="str">
        <f t="shared" ref="J17:J58" si="18">IF(H17="não", "0", "1")</f>
        <v>0</v>
      </c>
      <c r="K17" s="4" t="str">
        <f t="shared" ref="K17:K58" si="19">IF(I17="não", "0", "1")</f>
        <v>0</v>
      </c>
      <c r="L17" s="3">
        <f t="shared" ref="L17:L58" si="20">J17+K17</f>
        <v>0</v>
      </c>
      <c r="M17" s="129" t="str">
        <f t="shared" si="5"/>
        <v/>
      </c>
    </row>
    <row r="18" spans="2:13" ht="17.25" customHeight="1" thickBot="1" x14ac:dyDescent="0.45">
      <c r="B18" s="233"/>
      <c r="C18" s="92" t="str">
        <f>IF('5 Variáveis Homem'!G25=3, "sim", "não")</f>
        <v>não</v>
      </c>
      <c r="D18" s="97" t="s">
        <v>27</v>
      </c>
      <c r="E18" s="94" t="str">
        <f>IF('5 Variáveis Mulher'!G25=3, "sim", "não")</f>
        <v>não</v>
      </c>
      <c r="F18" s="235"/>
      <c r="H18" s="3" t="str">
        <f t="shared" si="16"/>
        <v>não</v>
      </c>
      <c r="I18" s="3" t="str">
        <f t="shared" si="17"/>
        <v>não</v>
      </c>
      <c r="J18" s="4" t="str">
        <f t="shared" si="18"/>
        <v>0</v>
      </c>
      <c r="K18" s="4" t="str">
        <f t="shared" si="19"/>
        <v>0</v>
      </c>
      <c r="L18" s="3">
        <f t="shared" si="20"/>
        <v>0</v>
      </c>
      <c r="M18" s="129" t="str">
        <f t="shared" si="5"/>
        <v/>
      </c>
    </row>
    <row r="19" spans="2:13" ht="17.25" customHeight="1" x14ac:dyDescent="0.4">
      <c r="B19" s="233"/>
      <c r="C19" s="66" t="str">
        <f>IF('5 Variáveis Homem'!G28=2, "sim", "não")</f>
        <v>não</v>
      </c>
      <c r="D19" s="86" t="s">
        <v>36</v>
      </c>
      <c r="E19" s="66" t="str">
        <f>IF('5 Variáveis Mulher'!G28=2, "sim", "não")</f>
        <v>não</v>
      </c>
      <c r="F19" s="235"/>
      <c r="H19" s="3" t="str">
        <f t="shared" si="16"/>
        <v>não</v>
      </c>
      <c r="I19" s="3" t="str">
        <f t="shared" si="17"/>
        <v>não</v>
      </c>
      <c r="J19" s="4" t="str">
        <f t="shared" si="18"/>
        <v>0</v>
      </c>
      <c r="K19" s="4" t="str">
        <f t="shared" si="19"/>
        <v>0</v>
      </c>
      <c r="L19" s="3">
        <f t="shared" si="20"/>
        <v>0</v>
      </c>
      <c r="M19" s="129" t="str">
        <f t="shared" si="5"/>
        <v/>
      </c>
    </row>
    <row r="20" spans="2:13" ht="17.25" customHeight="1" thickBot="1" x14ac:dyDescent="0.45">
      <c r="B20" s="233"/>
      <c r="C20" s="96" t="str">
        <f>IF('5 Variáveis Homem'!G28=3, "sim", "não")</f>
        <v>não</v>
      </c>
      <c r="D20" s="98" t="s">
        <v>37</v>
      </c>
      <c r="E20" s="96" t="str">
        <f>IF('5 Variáveis Mulher'!G28=3, "sim", "não")</f>
        <v>não</v>
      </c>
      <c r="F20" s="235"/>
      <c r="H20" s="3" t="str">
        <f t="shared" si="16"/>
        <v>não</v>
      </c>
      <c r="I20" s="3" t="str">
        <f t="shared" si="17"/>
        <v>não</v>
      </c>
      <c r="J20" s="4" t="str">
        <f t="shared" si="18"/>
        <v>0</v>
      </c>
      <c r="K20" s="4" t="str">
        <f t="shared" si="19"/>
        <v>0</v>
      </c>
      <c r="L20" s="3">
        <f t="shared" si="20"/>
        <v>0</v>
      </c>
      <c r="M20" s="129" t="str">
        <f t="shared" si="5"/>
        <v/>
      </c>
    </row>
    <row r="21" spans="2:13" ht="17.25" customHeight="1" x14ac:dyDescent="0.4">
      <c r="B21" s="233"/>
      <c r="C21" s="78" t="str">
        <f>IF('5 Variáveis Homem'!G31=2, "sim", "não")</f>
        <v>não</v>
      </c>
      <c r="D21" s="95" t="s">
        <v>38</v>
      </c>
      <c r="E21" s="81" t="str">
        <f>IF('5 Variáveis Mulher'!G31=2, "sim", "não")</f>
        <v>não</v>
      </c>
      <c r="F21" s="235"/>
      <c r="H21" s="3" t="str">
        <f t="shared" si="16"/>
        <v>não</v>
      </c>
      <c r="I21" s="3" t="str">
        <f t="shared" si="17"/>
        <v>não</v>
      </c>
      <c r="J21" s="4" t="str">
        <f t="shared" si="18"/>
        <v>0</v>
      </c>
      <c r="K21" s="4" t="str">
        <f t="shared" si="19"/>
        <v>0</v>
      </c>
      <c r="L21" s="3">
        <f t="shared" si="20"/>
        <v>0</v>
      </c>
      <c r="M21" s="129" t="str">
        <f t="shared" si="5"/>
        <v/>
      </c>
    </row>
    <row r="22" spans="2:13" ht="17.25" customHeight="1" x14ac:dyDescent="0.4">
      <c r="B22" s="233"/>
      <c r="C22" s="78" t="str">
        <f>IF('5 Variáveis Homem'!G31=3, "sim", "não")</f>
        <v>não</v>
      </c>
      <c r="D22" s="86" t="s">
        <v>39</v>
      </c>
      <c r="E22" s="81" t="str">
        <f>IF('5 Variáveis Mulher'!G31=3, "sim", "não")</f>
        <v>não</v>
      </c>
      <c r="F22" s="235"/>
      <c r="H22" s="3" t="str">
        <f t="shared" si="16"/>
        <v>não</v>
      </c>
      <c r="I22" s="3" t="str">
        <f t="shared" si="17"/>
        <v>não</v>
      </c>
      <c r="J22" s="4" t="str">
        <f t="shared" si="18"/>
        <v>0</v>
      </c>
      <c r="K22" s="4" t="str">
        <f t="shared" si="19"/>
        <v>0</v>
      </c>
      <c r="L22" s="3">
        <f t="shared" si="20"/>
        <v>0</v>
      </c>
      <c r="M22" s="129" t="str">
        <f t="shared" si="5"/>
        <v/>
      </c>
    </row>
    <row r="23" spans="2:13" ht="17.25" customHeight="1" thickBot="1" x14ac:dyDescent="0.45">
      <c r="B23" s="233"/>
      <c r="C23" s="92" t="str">
        <f>IF('5 Variáveis Homem'!G31=4, "sim", "não")</f>
        <v>não</v>
      </c>
      <c r="D23" s="98" t="s">
        <v>40</v>
      </c>
      <c r="E23" s="94" t="str">
        <f>IF('5 Variáveis Mulher'!G31=4, "sim", "não")</f>
        <v>não</v>
      </c>
      <c r="F23" s="235"/>
      <c r="H23" s="3" t="str">
        <f t="shared" si="16"/>
        <v>não</v>
      </c>
      <c r="I23" s="3" t="str">
        <f t="shared" si="17"/>
        <v>não</v>
      </c>
      <c r="J23" s="4" t="str">
        <f t="shared" si="18"/>
        <v>0</v>
      </c>
      <c r="K23" s="4" t="str">
        <f t="shared" si="19"/>
        <v>0</v>
      </c>
      <c r="L23" s="3">
        <f t="shared" si="20"/>
        <v>0</v>
      </c>
      <c r="M23" s="129" t="str">
        <f t="shared" si="5"/>
        <v/>
      </c>
    </row>
    <row r="24" spans="2:13" ht="17.25" customHeight="1" x14ac:dyDescent="0.4">
      <c r="B24" s="233"/>
      <c r="C24" s="66" t="str">
        <f>IF('5 Variáveis Homem'!G35=2, "sim", "não")</f>
        <v>não</v>
      </c>
      <c r="D24" s="84" t="s">
        <v>33</v>
      </c>
      <c r="E24" s="66" t="str">
        <f>IF('5 Variáveis Mulher'!G35=2, "sim", "não")</f>
        <v>não</v>
      </c>
      <c r="F24" s="235"/>
      <c r="H24" s="3" t="str">
        <f t="shared" si="16"/>
        <v>não</v>
      </c>
      <c r="I24" s="3" t="str">
        <f t="shared" si="17"/>
        <v>não</v>
      </c>
      <c r="J24" s="4" t="str">
        <f t="shared" si="18"/>
        <v>0</v>
      </c>
      <c r="K24" s="4" t="str">
        <f t="shared" si="19"/>
        <v>0</v>
      </c>
      <c r="L24" s="3">
        <f t="shared" si="20"/>
        <v>0</v>
      </c>
      <c r="M24" s="129" t="str">
        <f t="shared" si="5"/>
        <v/>
      </c>
    </row>
    <row r="25" spans="2:13" ht="17.25" customHeight="1" thickBot="1" x14ac:dyDescent="0.45">
      <c r="B25" s="233"/>
      <c r="C25" s="96" t="str">
        <f>IF('5 Variáveis Homem'!G35=3, "sim", "não")</f>
        <v>não</v>
      </c>
      <c r="D25" s="98" t="s">
        <v>41</v>
      </c>
      <c r="E25" s="96" t="str">
        <f>IF('5 Variáveis Mulher'!G35=3, "sim", "não")</f>
        <v>não</v>
      </c>
      <c r="F25" s="235"/>
      <c r="H25" s="3" t="str">
        <f t="shared" si="16"/>
        <v>não</v>
      </c>
      <c r="I25" s="3" t="str">
        <f t="shared" si="17"/>
        <v>não</v>
      </c>
      <c r="J25" s="4" t="str">
        <f t="shared" si="18"/>
        <v>0</v>
      </c>
      <c r="K25" s="4" t="str">
        <f t="shared" si="19"/>
        <v>0</v>
      </c>
      <c r="L25" s="3">
        <f t="shared" si="20"/>
        <v>0</v>
      </c>
      <c r="M25" s="129" t="str">
        <f t="shared" si="5"/>
        <v/>
      </c>
    </row>
    <row r="26" spans="2:13" ht="17.25" customHeight="1" x14ac:dyDescent="0.4">
      <c r="B26" s="233"/>
      <c r="C26" s="78" t="str">
        <f>IF('5 Variáveis Homem'!G38=2, "sim", "não")</f>
        <v>não</v>
      </c>
      <c r="D26" s="84" t="s">
        <v>43</v>
      </c>
      <c r="E26" s="81" t="str">
        <f>IF('5 Variáveis Mulher'!G38=2, "sim", "não")</f>
        <v>não</v>
      </c>
      <c r="F26" s="235"/>
      <c r="H26" s="3" t="str">
        <f t="shared" si="16"/>
        <v>não</v>
      </c>
      <c r="I26" s="3" t="str">
        <f t="shared" si="17"/>
        <v>não</v>
      </c>
      <c r="J26" s="4" t="str">
        <f t="shared" si="18"/>
        <v>0</v>
      </c>
      <c r="K26" s="4" t="str">
        <f t="shared" si="19"/>
        <v>0</v>
      </c>
      <c r="L26" s="3">
        <f t="shared" si="20"/>
        <v>0</v>
      </c>
      <c r="M26" s="129" t="str">
        <f t="shared" si="5"/>
        <v/>
      </c>
    </row>
    <row r="27" spans="2:13" ht="17.25" customHeight="1" x14ac:dyDescent="0.4">
      <c r="B27" s="233"/>
      <c r="C27" s="77" t="str">
        <f>IF('5 Variáveis Homem'!G38=3, "sim", "não")</f>
        <v>não</v>
      </c>
      <c r="D27" s="85" t="s">
        <v>35</v>
      </c>
      <c r="E27" s="80" t="str">
        <f>IF('5 Variáveis Mulher'!G38=3, "sim", "não")</f>
        <v>não</v>
      </c>
      <c r="F27" s="235"/>
      <c r="H27" s="3" t="str">
        <f t="shared" si="16"/>
        <v>não</v>
      </c>
      <c r="I27" s="3" t="str">
        <f t="shared" si="17"/>
        <v>não</v>
      </c>
      <c r="J27" s="4" t="str">
        <f t="shared" si="18"/>
        <v>0</v>
      </c>
      <c r="K27" s="4" t="str">
        <f t="shared" si="19"/>
        <v>0</v>
      </c>
      <c r="L27" s="3">
        <f t="shared" si="20"/>
        <v>0</v>
      </c>
      <c r="M27" s="129" t="str">
        <f t="shared" si="5"/>
        <v/>
      </c>
    </row>
    <row r="28" spans="2:13" ht="17.25" customHeight="1" x14ac:dyDescent="0.4">
      <c r="B28" s="228" t="s">
        <v>58</v>
      </c>
      <c r="C28" s="66" t="str">
        <f>IF('5 Variáveis Homem'!G41=2, "sim", "não")</f>
        <v>não</v>
      </c>
      <c r="D28" s="88" t="s">
        <v>46</v>
      </c>
      <c r="E28" s="66" t="str">
        <f>IF('5 Variáveis Mulher'!G41=2, "sim", "não")</f>
        <v>não</v>
      </c>
      <c r="F28" s="240" t="s">
        <v>58</v>
      </c>
      <c r="H28" s="3" t="str">
        <f t="shared" si="16"/>
        <v>não</v>
      </c>
      <c r="I28" s="3" t="str">
        <f t="shared" si="17"/>
        <v>não</v>
      </c>
      <c r="J28" s="4" t="str">
        <f t="shared" si="18"/>
        <v>0</v>
      </c>
      <c r="K28" s="4" t="str">
        <f t="shared" si="19"/>
        <v>0</v>
      </c>
      <c r="L28" s="3">
        <f t="shared" si="20"/>
        <v>0</v>
      </c>
      <c r="M28" s="129" t="str">
        <f t="shared" si="5"/>
        <v/>
      </c>
    </row>
    <row r="29" spans="2:13" ht="17.25" customHeight="1" thickBot="1" x14ac:dyDescent="0.45">
      <c r="B29" s="228"/>
      <c r="C29" s="96" t="str">
        <f>IF('5 Variáveis Homem'!G41=3, "sim", "não")</f>
        <v>não</v>
      </c>
      <c r="D29" s="100" t="s">
        <v>47</v>
      </c>
      <c r="E29" s="96" t="str">
        <f>IF('5 Variáveis Mulher'!G41=3, "sim", "não")</f>
        <v>não</v>
      </c>
      <c r="F29" s="240"/>
      <c r="H29" s="3" t="str">
        <f t="shared" si="16"/>
        <v>não</v>
      </c>
      <c r="I29" s="3" t="str">
        <f t="shared" si="17"/>
        <v>não</v>
      </c>
      <c r="J29" s="4" t="str">
        <f t="shared" si="18"/>
        <v>0</v>
      </c>
      <c r="K29" s="4" t="str">
        <f t="shared" si="19"/>
        <v>0</v>
      </c>
      <c r="L29" s="3">
        <f t="shared" si="20"/>
        <v>0</v>
      </c>
      <c r="M29" s="129" t="str">
        <f t="shared" si="5"/>
        <v/>
      </c>
    </row>
    <row r="30" spans="2:13" ht="17.25" customHeight="1" x14ac:dyDescent="0.4">
      <c r="B30" s="228"/>
      <c r="C30" s="78" t="str">
        <f>IF('5 Variáveis Homem'!G44=2, "sim", "não")</f>
        <v>não</v>
      </c>
      <c r="D30" s="88" t="s">
        <v>49</v>
      </c>
      <c r="E30" s="81" t="str">
        <f>IF('5 Variáveis Mulher'!G44=2, "sim", "não")</f>
        <v>não</v>
      </c>
      <c r="F30" s="240"/>
      <c r="H30" s="3" t="str">
        <f t="shared" si="16"/>
        <v>não</v>
      </c>
      <c r="I30" s="3" t="str">
        <f t="shared" si="17"/>
        <v>não</v>
      </c>
      <c r="J30" s="4" t="str">
        <f t="shared" si="18"/>
        <v>0</v>
      </c>
      <c r="K30" s="4" t="str">
        <f t="shared" si="19"/>
        <v>0</v>
      </c>
      <c r="L30" s="3">
        <f t="shared" si="20"/>
        <v>0</v>
      </c>
      <c r="M30" s="129" t="str">
        <f t="shared" si="5"/>
        <v/>
      </c>
    </row>
    <row r="31" spans="2:13" ht="17.25" customHeight="1" thickBot="1" x14ac:dyDescent="0.45">
      <c r="B31" s="228"/>
      <c r="C31" s="92" t="str">
        <f>IF('5 Variáveis Homem'!G44=3, "sim", "não")</f>
        <v>não</v>
      </c>
      <c r="D31" s="100" t="s">
        <v>50</v>
      </c>
      <c r="E31" s="94" t="str">
        <f>IF('5 Variáveis Mulher'!G44=3, "sim", "não")</f>
        <v>não</v>
      </c>
      <c r="F31" s="240"/>
      <c r="H31" s="3" t="str">
        <f t="shared" si="16"/>
        <v>não</v>
      </c>
      <c r="I31" s="3" t="str">
        <f t="shared" si="17"/>
        <v>não</v>
      </c>
      <c r="J31" s="4" t="str">
        <f t="shared" si="18"/>
        <v>0</v>
      </c>
      <c r="K31" s="4" t="str">
        <f t="shared" si="19"/>
        <v>0</v>
      </c>
      <c r="L31" s="3">
        <f t="shared" si="20"/>
        <v>0</v>
      </c>
      <c r="M31" s="129" t="str">
        <f t="shared" si="5"/>
        <v/>
      </c>
    </row>
    <row r="32" spans="2:13" ht="17.25" customHeight="1" x14ac:dyDescent="0.4">
      <c r="B32" s="228"/>
      <c r="C32" s="66" t="str">
        <f>IF('5 Variáveis Homem'!G47=2, "sim", "não")</f>
        <v>não</v>
      </c>
      <c r="D32" s="88" t="s">
        <v>51</v>
      </c>
      <c r="E32" s="66" t="str">
        <f>IF('5 Variáveis Mulher'!G47=2, "sim", "não")</f>
        <v>não</v>
      </c>
      <c r="F32" s="240"/>
      <c r="H32" s="3" t="str">
        <f t="shared" si="16"/>
        <v>não</v>
      </c>
      <c r="I32" s="3" t="str">
        <f t="shared" si="17"/>
        <v>não</v>
      </c>
      <c r="J32" s="4" t="str">
        <f t="shared" si="18"/>
        <v>0</v>
      </c>
      <c r="K32" s="4" t="str">
        <f t="shared" si="19"/>
        <v>0</v>
      </c>
      <c r="L32" s="3">
        <f t="shared" si="20"/>
        <v>0</v>
      </c>
      <c r="M32" s="129" t="str">
        <f t="shared" si="5"/>
        <v/>
      </c>
    </row>
    <row r="33" spans="2:13" ht="17.25" customHeight="1" thickBot="1" x14ac:dyDescent="0.45">
      <c r="B33" s="228"/>
      <c r="C33" s="96" t="str">
        <f>IF('5 Variáveis Homem'!G31=3, "sim", "não")</f>
        <v>não</v>
      </c>
      <c r="D33" s="100" t="s">
        <v>52</v>
      </c>
      <c r="E33" s="96" t="str">
        <f>IF('5 Variáveis Mulher'!G31=3, "sim", "não")</f>
        <v>não</v>
      </c>
      <c r="F33" s="240"/>
      <c r="H33" s="3" t="str">
        <f t="shared" si="16"/>
        <v>não</v>
      </c>
      <c r="I33" s="3" t="str">
        <f t="shared" si="17"/>
        <v>não</v>
      </c>
      <c r="J33" s="4" t="str">
        <f t="shared" si="18"/>
        <v>0</v>
      </c>
      <c r="K33" s="4" t="str">
        <f t="shared" si="19"/>
        <v>0</v>
      </c>
      <c r="L33" s="3">
        <f t="shared" si="20"/>
        <v>0</v>
      </c>
      <c r="M33" s="129" t="str">
        <f t="shared" si="5"/>
        <v/>
      </c>
    </row>
    <row r="34" spans="2:13" ht="17.25" customHeight="1" x14ac:dyDescent="0.4">
      <c r="B34" s="228"/>
      <c r="C34" s="78" t="str">
        <f>IF('5 Variáveis Homem'!G51=2, "sim", "não")</f>
        <v>não</v>
      </c>
      <c r="D34" s="88" t="s">
        <v>54</v>
      </c>
      <c r="E34" s="81" t="str">
        <f>IF('5 Variáveis Mulher'!G51=2, "sim", "não")</f>
        <v>não</v>
      </c>
      <c r="F34" s="240"/>
      <c r="H34" s="3" t="str">
        <f t="shared" si="16"/>
        <v>não</v>
      </c>
      <c r="I34" s="3" t="str">
        <f t="shared" si="17"/>
        <v>não</v>
      </c>
      <c r="J34" s="4" t="str">
        <f t="shared" si="18"/>
        <v>0</v>
      </c>
      <c r="K34" s="4" t="str">
        <f t="shared" si="19"/>
        <v>0</v>
      </c>
      <c r="L34" s="3">
        <f t="shared" si="20"/>
        <v>0</v>
      </c>
      <c r="M34" s="129" t="str">
        <f t="shared" si="5"/>
        <v/>
      </c>
    </row>
    <row r="35" spans="2:13" ht="17.25" customHeight="1" thickBot="1" x14ac:dyDescent="0.45">
      <c r="B35" s="228"/>
      <c r="C35" s="92" t="str">
        <f>IF('5 Variáveis Homem'!G51=3, "sim", "não")</f>
        <v>não</v>
      </c>
      <c r="D35" s="100" t="s">
        <v>53</v>
      </c>
      <c r="E35" s="94" t="str">
        <f>IF('5 Variáveis Mulher'!G51=3, "sim", "não")</f>
        <v>não</v>
      </c>
      <c r="F35" s="240"/>
      <c r="H35" s="3" t="str">
        <f t="shared" si="16"/>
        <v>não</v>
      </c>
      <c r="I35" s="3" t="str">
        <f t="shared" si="17"/>
        <v>não</v>
      </c>
      <c r="J35" s="4" t="str">
        <f t="shared" si="18"/>
        <v>0</v>
      </c>
      <c r="K35" s="4" t="str">
        <f t="shared" si="19"/>
        <v>0</v>
      </c>
      <c r="L35" s="3">
        <f t="shared" si="20"/>
        <v>0</v>
      </c>
      <c r="M35" s="129" t="str">
        <f t="shared" si="5"/>
        <v/>
      </c>
    </row>
    <row r="36" spans="2:13" ht="17.25" customHeight="1" x14ac:dyDescent="0.4">
      <c r="B36" s="228"/>
      <c r="C36" s="66" t="str">
        <f>IF('5 Variáveis Homem'!G53=2, "sim", "não")</f>
        <v>não</v>
      </c>
      <c r="D36" s="88" t="s">
        <v>55</v>
      </c>
      <c r="E36" s="66" t="str">
        <f>IF('5 Variáveis Mulher'!G53=2, "sim", "não")</f>
        <v>não</v>
      </c>
      <c r="F36" s="240"/>
      <c r="H36" s="3" t="str">
        <f t="shared" si="16"/>
        <v>não</v>
      </c>
      <c r="I36" s="3" t="str">
        <f t="shared" si="17"/>
        <v>não</v>
      </c>
      <c r="J36" s="4" t="str">
        <f t="shared" si="18"/>
        <v>0</v>
      </c>
      <c r="K36" s="4" t="str">
        <f t="shared" si="19"/>
        <v>0</v>
      </c>
      <c r="L36" s="3">
        <f t="shared" si="20"/>
        <v>0</v>
      </c>
      <c r="M36" s="129" t="str">
        <f t="shared" si="5"/>
        <v/>
      </c>
    </row>
    <row r="37" spans="2:13" ht="17.25" customHeight="1" thickBot="1" x14ac:dyDescent="0.45">
      <c r="B37" s="228"/>
      <c r="C37" s="96" t="str">
        <f>IF('5 Variáveis Homem'!G53=3, "sim", "não")</f>
        <v>não</v>
      </c>
      <c r="D37" s="100" t="s">
        <v>56</v>
      </c>
      <c r="E37" s="96" t="str">
        <f>IF('5 Variáveis Mulher'!G53=3, "sim", "não")</f>
        <v>não</v>
      </c>
      <c r="F37" s="240"/>
      <c r="H37" s="3" t="str">
        <f t="shared" si="16"/>
        <v>não</v>
      </c>
      <c r="I37" s="3" t="str">
        <f t="shared" si="17"/>
        <v>não</v>
      </c>
      <c r="J37" s="4" t="str">
        <f t="shared" si="18"/>
        <v>0</v>
      </c>
      <c r="K37" s="4" t="str">
        <f t="shared" si="19"/>
        <v>0</v>
      </c>
      <c r="L37" s="3">
        <f t="shared" si="20"/>
        <v>0</v>
      </c>
      <c r="M37" s="129" t="str">
        <f t="shared" si="5"/>
        <v/>
      </c>
    </row>
    <row r="38" spans="2:13" ht="17.25" customHeight="1" x14ac:dyDescent="0.4">
      <c r="B38" s="223" t="s">
        <v>57</v>
      </c>
      <c r="C38" s="78" t="str">
        <f>IF('5 Variáveis Homem'!G57=2, "sim", "não")</f>
        <v>não</v>
      </c>
      <c r="D38" s="90" t="s">
        <v>61</v>
      </c>
      <c r="E38" s="81" t="str">
        <f>IF('5 Variáveis Mulher'!G57=2, "sim", "não")</f>
        <v>não</v>
      </c>
      <c r="F38" s="241" t="s">
        <v>57</v>
      </c>
      <c r="H38" s="3" t="str">
        <f t="shared" si="16"/>
        <v>não</v>
      </c>
      <c r="I38" s="3" t="str">
        <f t="shared" si="17"/>
        <v>não</v>
      </c>
      <c r="J38" s="4" t="str">
        <f t="shared" si="18"/>
        <v>0</v>
      </c>
      <c r="K38" s="4" t="str">
        <f t="shared" si="19"/>
        <v>0</v>
      </c>
      <c r="L38" s="3">
        <f t="shared" si="20"/>
        <v>0</v>
      </c>
      <c r="M38" s="129" t="str">
        <f t="shared" si="5"/>
        <v/>
      </c>
    </row>
    <row r="39" spans="2:13" ht="17.25" customHeight="1" thickBot="1" x14ac:dyDescent="0.45">
      <c r="B39" s="223"/>
      <c r="C39" s="92" t="str">
        <f>IF('5 Variáveis Homem'!G57=3, "sim", "não")</f>
        <v>não</v>
      </c>
      <c r="D39" s="101" t="s">
        <v>62</v>
      </c>
      <c r="E39" s="94" t="str">
        <f>IF('5 Variáveis Mulher'!G57=3, "sim", "não")</f>
        <v>não</v>
      </c>
      <c r="F39" s="241"/>
      <c r="H39" s="3" t="str">
        <f t="shared" si="16"/>
        <v>não</v>
      </c>
      <c r="I39" s="3" t="str">
        <f t="shared" si="17"/>
        <v>não</v>
      </c>
      <c r="J39" s="4" t="str">
        <f t="shared" si="18"/>
        <v>0</v>
      </c>
      <c r="K39" s="4" t="str">
        <f t="shared" si="19"/>
        <v>0</v>
      </c>
      <c r="L39" s="3">
        <f t="shared" si="20"/>
        <v>0</v>
      </c>
      <c r="M39" s="129" t="str">
        <f t="shared" si="5"/>
        <v/>
      </c>
    </row>
    <row r="40" spans="2:13" ht="17.25" customHeight="1" x14ac:dyDescent="0.4">
      <c r="B40" s="223"/>
      <c r="C40" s="66" t="str">
        <f>IF('5 Variáveis Homem'!G60=2, "sim", "não")</f>
        <v>não</v>
      </c>
      <c r="D40" s="89" t="s">
        <v>72</v>
      </c>
      <c r="E40" s="66" t="str">
        <f>IF('5 Variáveis Mulher'!G60=2, "sim", "não")</f>
        <v>não</v>
      </c>
      <c r="F40" s="241"/>
      <c r="H40" s="3" t="str">
        <f t="shared" si="16"/>
        <v>não</v>
      </c>
      <c r="I40" s="3" t="str">
        <f t="shared" si="17"/>
        <v>não</v>
      </c>
      <c r="J40" s="4" t="str">
        <f t="shared" si="18"/>
        <v>0</v>
      </c>
      <c r="K40" s="4" t="str">
        <f t="shared" si="19"/>
        <v>0</v>
      </c>
      <c r="L40" s="3">
        <f t="shared" si="20"/>
        <v>0</v>
      </c>
      <c r="M40" s="129" t="str">
        <f t="shared" si="5"/>
        <v/>
      </c>
    </row>
    <row r="41" spans="2:13" ht="17.25" customHeight="1" thickBot="1" x14ac:dyDescent="0.45">
      <c r="B41" s="223"/>
      <c r="C41" s="96" t="str">
        <f>IF('5 Variáveis Homem'!G60=3, "sim", "não")</f>
        <v>não</v>
      </c>
      <c r="D41" s="102" t="s">
        <v>73</v>
      </c>
      <c r="E41" s="96" t="str">
        <f>IF('5 Variáveis Mulher'!G60=3, "sim", "não")</f>
        <v>não</v>
      </c>
      <c r="F41" s="241"/>
      <c r="H41" s="3" t="str">
        <f t="shared" si="16"/>
        <v>não</v>
      </c>
      <c r="I41" s="3" t="str">
        <f t="shared" si="17"/>
        <v>não</v>
      </c>
      <c r="J41" s="4" t="str">
        <f t="shared" si="18"/>
        <v>0</v>
      </c>
      <c r="K41" s="4" t="str">
        <f t="shared" si="19"/>
        <v>0</v>
      </c>
      <c r="L41" s="3">
        <f t="shared" si="20"/>
        <v>0</v>
      </c>
      <c r="M41" s="129" t="str">
        <f t="shared" si="5"/>
        <v/>
      </c>
    </row>
    <row r="42" spans="2:13" ht="17.25" customHeight="1" x14ac:dyDescent="0.4">
      <c r="B42" s="223"/>
      <c r="C42" s="78" t="str">
        <f>IF('5 Variáveis Homem'!G63=2, "sim", "não")</f>
        <v>não</v>
      </c>
      <c r="D42" s="99" t="s">
        <v>74</v>
      </c>
      <c r="E42" s="81" t="str">
        <f>IF('5 Variáveis Mulher'!G63=2, "sim", "não")</f>
        <v>não</v>
      </c>
      <c r="F42" s="241"/>
      <c r="H42" s="3" t="str">
        <f t="shared" si="16"/>
        <v>não</v>
      </c>
      <c r="I42" s="3" t="str">
        <f t="shared" si="17"/>
        <v>não</v>
      </c>
      <c r="J42" s="4" t="str">
        <f t="shared" si="18"/>
        <v>0</v>
      </c>
      <c r="K42" s="4" t="str">
        <f t="shared" si="19"/>
        <v>0</v>
      </c>
      <c r="L42" s="3">
        <f t="shared" si="20"/>
        <v>0</v>
      </c>
      <c r="M42" s="129" t="str">
        <f t="shared" si="5"/>
        <v/>
      </c>
    </row>
    <row r="43" spans="2:13" ht="17.25" customHeight="1" x14ac:dyDescent="0.4">
      <c r="B43" s="223"/>
      <c r="C43" s="78" t="str">
        <f>IF('5 Variáveis Homem'!G63=3, "sim", "não")</f>
        <v>não</v>
      </c>
      <c r="D43" s="89" t="s">
        <v>75</v>
      </c>
      <c r="E43" s="81" t="str">
        <f>IF('5 Variáveis Mulher'!G63=3, "sim", "não")</f>
        <v>não</v>
      </c>
      <c r="F43" s="241"/>
      <c r="H43" s="3" t="str">
        <f t="shared" si="16"/>
        <v>não</v>
      </c>
      <c r="I43" s="3" t="str">
        <f t="shared" si="17"/>
        <v>não</v>
      </c>
      <c r="J43" s="4" t="str">
        <f t="shared" si="18"/>
        <v>0</v>
      </c>
      <c r="K43" s="4" t="str">
        <f t="shared" si="19"/>
        <v>0</v>
      </c>
      <c r="L43" s="3">
        <f t="shared" si="20"/>
        <v>0</v>
      </c>
      <c r="M43" s="129" t="str">
        <f t="shared" si="5"/>
        <v/>
      </c>
    </row>
    <row r="44" spans="2:13" ht="17.25" customHeight="1" thickBot="1" x14ac:dyDescent="0.45">
      <c r="B44" s="223"/>
      <c r="C44" s="92" t="str">
        <f>IF('5 Variáveis Homem'!G63=4, "sim", "não")</f>
        <v>não</v>
      </c>
      <c r="D44" s="102" t="s">
        <v>76</v>
      </c>
      <c r="E44" s="94" t="str">
        <f>IF('5 Variáveis Mulher'!G63=4, "sim", "não")</f>
        <v>não</v>
      </c>
      <c r="F44" s="241"/>
      <c r="H44" s="3" t="str">
        <f t="shared" si="16"/>
        <v>não</v>
      </c>
      <c r="I44" s="3" t="str">
        <f t="shared" si="17"/>
        <v>não</v>
      </c>
      <c r="J44" s="4" t="str">
        <f t="shared" si="18"/>
        <v>0</v>
      </c>
      <c r="K44" s="4" t="str">
        <f t="shared" si="19"/>
        <v>0</v>
      </c>
      <c r="L44" s="3">
        <f t="shared" si="20"/>
        <v>0</v>
      </c>
      <c r="M44" s="129" t="str">
        <f t="shared" si="5"/>
        <v/>
      </c>
    </row>
    <row r="45" spans="2:13" ht="17.25" customHeight="1" x14ac:dyDescent="0.4">
      <c r="B45" s="223"/>
      <c r="C45" s="66" t="str">
        <f>IF('5 Variáveis Homem'!G67=2, "sim", "não")</f>
        <v>não</v>
      </c>
      <c r="D45" s="90" t="s">
        <v>92</v>
      </c>
      <c r="E45" s="66" t="str">
        <f>IF('5 Variáveis Mulher'!G67=2, "sim", "não")</f>
        <v>não</v>
      </c>
      <c r="F45" s="241"/>
      <c r="H45" s="3" t="str">
        <f t="shared" si="16"/>
        <v>não</v>
      </c>
      <c r="I45" s="3" t="str">
        <f t="shared" si="17"/>
        <v>não</v>
      </c>
      <c r="J45" s="4" t="str">
        <f t="shared" si="18"/>
        <v>0</v>
      </c>
      <c r="K45" s="4" t="str">
        <f t="shared" si="19"/>
        <v>0</v>
      </c>
      <c r="L45" s="3">
        <f t="shared" si="20"/>
        <v>0</v>
      </c>
      <c r="M45" s="129" t="str">
        <f t="shared" si="5"/>
        <v/>
      </c>
    </row>
    <row r="46" spans="2:13" ht="17.25" customHeight="1" thickBot="1" x14ac:dyDescent="0.45">
      <c r="B46" s="223"/>
      <c r="C46" s="96" t="str">
        <f>IF('5 Variáveis Homem'!G67=3, "sim", "não")</f>
        <v>não</v>
      </c>
      <c r="D46" s="101" t="s">
        <v>93</v>
      </c>
      <c r="E46" s="96" t="str">
        <f>IF('5 Variáveis Mulher'!G67=3, "sim", "não")</f>
        <v>não</v>
      </c>
      <c r="F46" s="241"/>
      <c r="H46" s="3" t="str">
        <f t="shared" si="16"/>
        <v>não</v>
      </c>
      <c r="I46" s="3" t="str">
        <f t="shared" si="17"/>
        <v>não</v>
      </c>
      <c r="J46" s="4" t="str">
        <f t="shared" si="18"/>
        <v>0</v>
      </c>
      <c r="K46" s="4" t="str">
        <f t="shared" si="19"/>
        <v>0</v>
      </c>
      <c r="L46" s="3">
        <f t="shared" si="20"/>
        <v>0</v>
      </c>
      <c r="M46" s="129" t="str">
        <f t="shared" si="5"/>
        <v/>
      </c>
    </row>
    <row r="47" spans="2:13" ht="17.25" customHeight="1" x14ac:dyDescent="0.4">
      <c r="B47" s="223"/>
      <c r="C47" s="78" t="str">
        <f>IF('5 Variáveis Homem'!G70=2, "sim", "não")</f>
        <v>não</v>
      </c>
      <c r="D47" s="89" t="s">
        <v>79</v>
      </c>
      <c r="E47" s="81" t="str">
        <f>IF('5 Variáveis Mulher'!G70=2, "sim", "não")</f>
        <v>não</v>
      </c>
      <c r="F47" s="241"/>
      <c r="H47" s="3" t="str">
        <f t="shared" si="16"/>
        <v>não</v>
      </c>
      <c r="I47" s="3" t="str">
        <f t="shared" si="17"/>
        <v>não</v>
      </c>
      <c r="J47" s="4" t="str">
        <f t="shared" si="18"/>
        <v>0</v>
      </c>
      <c r="K47" s="4" t="str">
        <f t="shared" si="19"/>
        <v>0</v>
      </c>
      <c r="L47" s="3">
        <f t="shared" si="20"/>
        <v>0</v>
      </c>
      <c r="M47" s="129" t="str">
        <f t="shared" si="5"/>
        <v/>
      </c>
    </row>
    <row r="48" spans="2:13" ht="17.25" customHeight="1" thickBot="1" x14ac:dyDescent="0.45">
      <c r="B48" s="223"/>
      <c r="C48" s="92" t="str">
        <f>IF('5 Variáveis Homem'!G70=3, "sim", "não")</f>
        <v>não</v>
      </c>
      <c r="D48" s="102" t="s">
        <v>80</v>
      </c>
      <c r="E48" s="94" t="str">
        <f>IF('5 Variáveis Mulher'!G70=3, "sim", "não")</f>
        <v>não</v>
      </c>
      <c r="F48" s="241"/>
      <c r="H48" s="3" t="str">
        <f t="shared" si="16"/>
        <v>não</v>
      </c>
      <c r="I48" s="3" t="str">
        <f t="shared" si="17"/>
        <v>não</v>
      </c>
      <c r="J48" s="4" t="str">
        <f t="shared" si="18"/>
        <v>0</v>
      </c>
      <c r="K48" s="4" t="str">
        <f t="shared" si="19"/>
        <v>0</v>
      </c>
      <c r="L48" s="3">
        <f t="shared" si="20"/>
        <v>0</v>
      </c>
      <c r="M48" s="129" t="str">
        <f t="shared" si="5"/>
        <v/>
      </c>
    </row>
    <row r="49" spans="2:13" ht="17.25" customHeight="1" x14ac:dyDescent="0.4">
      <c r="B49" s="236" t="s">
        <v>81</v>
      </c>
      <c r="C49" s="66" t="str">
        <f>IF('5 Variáveis Homem'!G73=2, "sim", "não")</f>
        <v>não</v>
      </c>
      <c r="D49" s="91" t="s">
        <v>82</v>
      </c>
      <c r="E49" s="66" t="str">
        <f>IF('5 Variáveis Mulher'!G73=2, "sim", "não")</f>
        <v>não</v>
      </c>
      <c r="F49" s="242" t="s">
        <v>81</v>
      </c>
      <c r="H49" s="3" t="str">
        <f t="shared" si="16"/>
        <v>não</v>
      </c>
      <c r="I49" s="3" t="str">
        <f t="shared" si="17"/>
        <v>não</v>
      </c>
      <c r="J49" s="4" t="str">
        <f t="shared" si="18"/>
        <v>0</v>
      </c>
      <c r="K49" s="4" t="str">
        <f t="shared" si="19"/>
        <v>0</v>
      </c>
      <c r="L49" s="3">
        <f t="shared" si="20"/>
        <v>0</v>
      </c>
      <c r="M49" s="129" t="str">
        <f t="shared" si="5"/>
        <v/>
      </c>
    </row>
    <row r="50" spans="2:13" ht="17.25" customHeight="1" thickBot="1" x14ac:dyDescent="0.45">
      <c r="B50" s="236"/>
      <c r="C50" s="96" t="str">
        <f>IF('5 Variáveis Homem'!G73=3, "sim", "não")</f>
        <v>não</v>
      </c>
      <c r="D50" s="103" t="s">
        <v>83</v>
      </c>
      <c r="E50" s="96" t="str">
        <f>IF('5 Variáveis Mulher'!G73=3, "sim", "não")</f>
        <v>não</v>
      </c>
      <c r="F50" s="242"/>
      <c r="H50" s="3" t="str">
        <f t="shared" si="16"/>
        <v>não</v>
      </c>
      <c r="I50" s="3" t="str">
        <f t="shared" si="17"/>
        <v>não</v>
      </c>
      <c r="J50" s="4" t="str">
        <f t="shared" si="18"/>
        <v>0</v>
      </c>
      <c r="K50" s="4" t="str">
        <f t="shared" si="19"/>
        <v>0</v>
      </c>
      <c r="L50" s="3">
        <f t="shared" si="20"/>
        <v>0</v>
      </c>
      <c r="M50" s="129" t="str">
        <f t="shared" si="5"/>
        <v/>
      </c>
    </row>
    <row r="51" spans="2:13" ht="17.25" customHeight="1" x14ac:dyDescent="0.4">
      <c r="B51" s="236"/>
      <c r="C51" s="78" t="str">
        <f>IF('5 Variáveis Homem'!G77=2, "sim", "não")</f>
        <v>não</v>
      </c>
      <c r="D51" s="91" t="s">
        <v>84</v>
      </c>
      <c r="E51" s="81" t="str">
        <f>IF('5 Variáveis Mulher'!G77=2, "sim", "não")</f>
        <v>não</v>
      </c>
      <c r="F51" s="242"/>
      <c r="H51" s="3" t="str">
        <f t="shared" si="16"/>
        <v>não</v>
      </c>
      <c r="I51" s="3" t="str">
        <f t="shared" si="17"/>
        <v>não</v>
      </c>
      <c r="J51" s="4" t="str">
        <f t="shared" si="18"/>
        <v>0</v>
      </c>
      <c r="K51" s="4" t="str">
        <f t="shared" si="19"/>
        <v>0</v>
      </c>
      <c r="L51" s="3">
        <f t="shared" si="20"/>
        <v>0</v>
      </c>
      <c r="M51" s="129" t="str">
        <f t="shared" si="5"/>
        <v/>
      </c>
    </row>
    <row r="52" spans="2:13" ht="17.25" customHeight="1" thickBot="1" x14ac:dyDescent="0.45">
      <c r="B52" s="236"/>
      <c r="C52" s="92" t="str">
        <f>IF('5 Variáveis Homem'!G77=3, "sim", "não")</f>
        <v>não</v>
      </c>
      <c r="D52" s="103" t="s">
        <v>85</v>
      </c>
      <c r="E52" s="94" t="str">
        <f>IF('5 Variáveis Mulher'!G77=3, "sim", "não")</f>
        <v>não</v>
      </c>
      <c r="F52" s="242"/>
      <c r="H52" s="3" t="str">
        <f t="shared" si="16"/>
        <v>não</v>
      </c>
      <c r="I52" s="3" t="str">
        <f t="shared" si="17"/>
        <v>não</v>
      </c>
      <c r="J52" s="4" t="str">
        <f t="shared" si="18"/>
        <v>0</v>
      </c>
      <c r="K52" s="4" t="str">
        <f t="shared" si="19"/>
        <v>0</v>
      </c>
      <c r="L52" s="3">
        <f t="shared" si="20"/>
        <v>0</v>
      </c>
      <c r="M52" s="129" t="str">
        <f t="shared" si="5"/>
        <v/>
      </c>
    </row>
    <row r="53" spans="2:13" ht="17.25" customHeight="1" x14ac:dyDescent="0.4">
      <c r="B53" s="236"/>
      <c r="C53" s="66" t="str">
        <f>IF('5 Variáveis Homem'!G80=2, "sim", "não")</f>
        <v>não</v>
      </c>
      <c r="D53" s="91" t="s">
        <v>86</v>
      </c>
      <c r="E53" s="66" t="str">
        <f>IF('5 Variáveis Mulher'!G80=2, "sim", "não")</f>
        <v>não</v>
      </c>
      <c r="F53" s="242"/>
      <c r="H53" s="3" t="str">
        <f t="shared" si="16"/>
        <v>não</v>
      </c>
      <c r="I53" s="3" t="str">
        <f t="shared" si="17"/>
        <v>não</v>
      </c>
      <c r="J53" s="4" t="str">
        <f t="shared" si="18"/>
        <v>0</v>
      </c>
      <c r="K53" s="4" t="str">
        <f t="shared" si="19"/>
        <v>0</v>
      </c>
      <c r="L53" s="3">
        <f t="shared" si="20"/>
        <v>0</v>
      </c>
      <c r="M53" s="129" t="str">
        <f t="shared" si="5"/>
        <v/>
      </c>
    </row>
    <row r="54" spans="2:13" ht="17.25" customHeight="1" thickBot="1" x14ac:dyDescent="0.45">
      <c r="B54" s="236"/>
      <c r="C54" s="96" t="str">
        <f>IF('5 Variáveis Homem'!G80=3, "sim", "não")</f>
        <v>não</v>
      </c>
      <c r="D54" s="103" t="s">
        <v>87</v>
      </c>
      <c r="E54" s="96" t="str">
        <f>IF('5 Variáveis Mulher'!G80=3, "sim", "não")</f>
        <v>não</v>
      </c>
      <c r="F54" s="242"/>
      <c r="H54" s="3" t="str">
        <f t="shared" si="16"/>
        <v>não</v>
      </c>
      <c r="I54" s="3" t="str">
        <f t="shared" si="17"/>
        <v>não</v>
      </c>
      <c r="J54" s="4" t="str">
        <f t="shared" si="18"/>
        <v>0</v>
      </c>
      <c r="K54" s="4" t="str">
        <f t="shared" si="19"/>
        <v>0</v>
      </c>
      <c r="L54" s="3">
        <f t="shared" si="20"/>
        <v>0</v>
      </c>
      <c r="M54" s="129" t="str">
        <f t="shared" si="5"/>
        <v/>
      </c>
    </row>
    <row r="55" spans="2:13" ht="17.25" customHeight="1" x14ac:dyDescent="0.4">
      <c r="B55" s="236"/>
      <c r="C55" s="78" t="str">
        <f>IF('5 Variáveis Homem'!G83=2, "sim", "não")</f>
        <v>não</v>
      </c>
      <c r="D55" s="91" t="s">
        <v>88</v>
      </c>
      <c r="E55" s="81" t="str">
        <f>IF('5 Variáveis Mulher'!G83=2, "sim", "não")</f>
        <v>não</v>
      </c>
      <c r="F55" s="242"/>
      <c r="H55" s="3" t="str">
        <f t="shared" si="16"/>
        <v>não</v>
      </c>
      <c r="I55" s="3" t="str">
        <f t="shared" si="17"/>
        <v>não</v>
      </c>
      <c r="J55" s="4" t="str">
        <f t="shared" si="18"/>
        <v>0</v>
      </c>
      <c r="K55" s="4" t="str">
        <f t="shared" si="19"/>
        <v>0</v>
      </c>
      <c r="L55" s="3">
        <f t="shared" si="20"/>
        <v>0</v>
      </c>
      <c r="M55" s="129" t="str">
        <f t="shared" si="5"/>
        <v/>
      </c>
    </row>
    <row r="56" spans="2:13" ht="17.25" customHeight="1" thickBot="1" x14ac:dyDescent="0.45">
      <c r="B56" s="236"/>
      <c r="C56" s="92" t="str">
        <f>IF('5 Variáveis Homem'!G83=3, "sim", "não")</f>
        <v>não</v>
      </c>
      <c r="D56" s="103" t="s">
        <v>89</v>
      </c>
      <c r="E56" s="94" t="str">
        <f>IF('5 Variáveis Mulher'!G83=3, "sim", "não")</f>
        <v>não</v>
      </c>
      <c r="F56" s="242"/>
      <c r="H56" s="3" t="str">
        <f t="shared" si="16"/>
        <v>não</v>
      </c>
      <c r="I56" s="3" t="str">
        <f t="shared" si="17"/>
        <v>não</v>
      </c>
      <c r="J56" s="4" t="str">
        <f t="shared" si="18"/>
        <v>0</v>
      </c>
      <c r="K56" s="4" t="str">
        <f t="shared" si="19"/>
        <v>0</v>
      </c>
      <c r="L56" s="3">
        <f t="shared" si="20"/>
        <v>0</v>
      </c>
      <c r="M56" s="129" t="str">
        <f t="shared" si="5"/>
        <v/>
      </c>
    </row>
    <row r="57" spans="2:13" ht="17.25" customHeight="1" x14ac:dyDescent="0.4">
      <c r="B57" s="236"/>
      <c r="C57" s="66" t="str">
        <f>IF('5 Variáveis Homem'!G86=2, "sim", "não")</f>
        <v>não</v>
      </c>
      <c r="D57" s="91" t="s">
        <v>90</v>
      </c>
      <c r="E57" s="66" t="str">
        <f>IF('5 Variáveis Mulher'!G86=2, "sim", "não")</f>
        <v>não</v>
      </c>
      <c r="F57" s="242"/>
      <c r="H57" s="3" t="str">
        <f t="shared" si="16"/>
        <v>não</v>
      </c>
      <c r="I57" s="3" t="str">
        <f t="shared" si="17"/>
        <v>não</v>
      </c>
      <c r="J57" s="4" t="str">
        <f t="shared" si="18"/>
        <v>0</v>
      </c>
      <c r="K57" s="4" t="str">
        <f t="shared" si="19"/>
        <v>0</v>
      </c>
      <c r="L57" s="3">
        <f t="shared" si="20"/>
        <v>0</v>
      </c>
      <c r="M57" s="129" t="str">
        <f t="shared" si="5"/>
        <v/>
      </c>
    </row>
    <row r="58" spans="2:13" ht="17.25" customHeight="1" thickBot="1" x14ac:dyDescent="0.45">
      <c r="B58" s="236"/>
      <c r="C58" s="96" t="str">
        <f>IF('5 Variáveis Homem'!G86=3, "sim", "não")</f>
        <v>não</v>
      </c>
      <c r="D58" s="103" t="s">
        <v>91</v>
      </c>
      <c r="E58" s="96" t="str">
        <f>IF('5 Variáveis Mulher'!G86=3, "sim", "não")</f>
        <v>não</v>
      </c>
      <c r="F58" s="242"/>
      <c r="H58" s="3" t="str">
        <f t="shared" si="16"/>
        <v>não</v>
      </c>
      <c r="I58" s="3" t="str">
        <f t="shared" si="17"/>
        <v>não</v>
      </c>
      <c r="J58" s="4" t="str">
        <f t="shared" si="18"/>
        <v>0</v>
      </c>
      <c r="K58" s="4" t="str">
        <f t="shared" si="19"/>
        <v>0</v>
      </c>
      <c r="L58" s="3">
        <f t="shared" si="20"/>
        <v>0</v>
      </c>
      <c r="M58" s="129" t="str">
        <f t="shared" si="5"/>
        <v/>
      </c>
    </row>
    <row r="80" spans="4:5" x14ac:dyDescent="0.4">
      <c r="D80" s="68" t="s">
        <v>212</v>
      </c>
      <c r="E80" s="162">
        <f>COUNTIF(M4:M58, "convergência")</f>
        <v>0</v>
      </c>
    </row>
    <row r="81" spans="4:5" x14ac:dyDescent="0.4">
      <c r="D81" s="68" t="s">
        <v>213</v>
      </c>
      <c r="E81" s="162">
        <f>26-E80</f>
        <v>26</v>
      </c>
    </row>
  </sheetData>
  <sheetProtection password="CFC0" sheet="1" objects="1" scenarios="1"/>
  <mergeCells count="13">
    <mergeCell ref="F14:F27"/>
    <mergeCell ref="B38:B48"/>
    <mergeCell ref="B49:B58"/>
    <mergeCell ref="A1:G1"/>
    <mergeCell ref="B3:C3"/>
    <mergeCell ref="E3:F3"/>
    <mergeCell ref="B28:B37"/>
    <mergeCell ref="F28:F37"/>
    <mergeCell ref="F38:F48"/>
    <mergeCell ref="F49:F58"/>
    <mergeCell ref="B4:B13"/>
    <mergeCell ref="F4:F13"/>
    <mergeCell ref="B14:B27"/>
  </mergeCells>
  <conditionalFormatting sqref="D2:D3 D59:D79 D82:D1048576">
    <cfRule type="duplicateValues" dxfId="21" priority="37"/>
  </conditionalFormatting>
  <conditionalFormatting sqref="E4:E57 C4:C58">
    <cfRule type="cellIs" dxfId="20" priority="6" operator="equal">
      <formula>"SIM"</formula>
    </cfRule>
  </conditionalFormatting>
  <conditionalFormatting sqref="M4:M58">
    <cfRule type="cellIs" dxfId="19" priority="1" operator="equal">
      <formula>"Convergência"</formula>
    </cfRule>
  </conditionalFormatting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K55"/>
  <sheetViews>
    <sheetView showGridLines="0" zoomScaleNormal="100" workbookViewId="0">
      <pane ySplit="3" topLeftCell="A19" activePane="bottomLeft" state="frozen"/>
      <selection activeCell="B1" sqref="B1"/>
      <selection pane="bottomLeft" activeCell="E25" sqref="E25"/>
    </sheetView>
  </sheetViews>
  <sheetFormatPr defaultRowHeight="12.3" x14ac:dyDescent="0.4"/>
  <cols>
    <col min="1" max="1" width="3.83203125" customWidth="1"/>
    <col min="2" max="2" width="21.27734375" style="63" customWidth="1"/>
    <col min="3" max="3" width="3.27734375" style="1" customWidth="1"/>
    <col min="4" max="4" width="4.71875" style="1" customWidth="1"/>
    <col min="5" max="5" width="3.27734375" style="1" customWidth="1"/>
    <col min="6" max="6" width="20.83203125" style="62" customWidth="1"/>
    <col min="7" max="7" width="20.83203125" customWidth="1"/>
    <col min="8" max="8" width="3.27734375" customWidth="1"/>
    <col min="9" max="9" width="4.71875" customWidth="1"/>
    <col min="10" max="10" width="3.27734375" customWidth="1"/>
    <col min="11" max="11" width="20.83203125" customWidth="1"/>
    <col min="12" max="12" width="3.44140625" customWidth="1"/>
  </cols>
  <sheetData>
    <row r="1" spans="2:11" ht="17.7" x14ac:dyDescent="0.4">
      <c r="B1" s="216" t="s">
        <v>476</v>
      </c>
      <c r="C1" s="216"/>
      <c r="D1" s="216"/>
      <c r="E1" s="216"/>
      <c r="F1" s="216"/>
      <c r="G1" s="216"/>
      <c r="H1" s="216"/>
      <c r="I1" s="216"/>
      <c r="J1" s="216"/>
      <c r="K1" s="216"/>
    </row>
    <row r="2" spans="2:11" x14ac:dyDescent="0.4">
      <c r="B2" s="246" t="s">
        <v>196</v>
      </c>
      <c r="C2" s="246"/>
      <c r="D2" s="246"/>
      <c r="E2" s="246"/>
      <c r="F2" s="246"/>
      <c r="G2" s="246"/>
      <c r="H2" s="246"/>
      <c r="I2" s="246"/>
      <c r="J2" s="246"/>
      <c r="K2" s="246"/>
    </row>
    <row r="3" spans="2:11" s="67" customFormat="1" ht="17.25" customHeight="1" thickBot="1" x14ac:dyDescent="0.45">
      <c r="B3" s="244" t="s">
        <v>194</v>
      </c>
      <c r="C3" s="244"/>
      <c r="D3" s="70" t="s">
        <v>197</v>
      </c>
      <c r="E3" s="245" t="s">
        <v>195</v>
      </c>
      <c r="F3" s="245"/>
      <c r="G3" s="244" t="s">
        <v>194</v>
      </c>
      <c r="H3" s="244"/>
      <c r="I3" s="70" t="s">
        <v>197</v>
      </c>
      <c r="J3" s="245" t="s">
        <v>195</v>
      </c>
      <c r="K3" s="245"/>
    </row>
    <row r="4" spans="2:11" s="67" customFormat="1" ht="3.75" customHeight="1" x14ac:dyDescent="0.4">
      <c r="B4" s="174"/>
      <c r="C4" s="174"/>
      <c r="D4" s="175"/>
      <c r="E4" s="174"/>
      <c r="F4" s="174"/>
      <c r="G4" s="174"/>
      <c r="H4" s="174"/>
      <c r="I4" s="175"/>
      <c r="J4" s="174"/>
      <c r="K4" s="174"/>
    </row>
    <row r="5" spans="2:11" ht="17.25" customHeight="1" x14ac:dyDescent="0.4">
      <c r="B5" s="64" t="s">
        <v>94</v>
      </c>
      <c r="C5" s="71"/>
      <c r="D5" s="66">
        <v>1</v>
      </c>
      <c r="E5" s="36" t="s">
        <v>546</v>
      </c>
      <c r="F5" s="65" t="s">
        <v>95</v>
      </c>
      <c r="G5" s="64" t="s">
        <v>140</v>
      </c>
      <c r="H5" s="71"/>
      <c r="I5" s="66">
        <v>26</v>
      </c>
      <c r="J5" s="71"/>
      <c r="K5" s="65" t="s">
        <v>141</v>
      </c>
    </row>
    <row r="6" spans="2:11" ht="17.25" customHeight="1" x14ac:dyDescent="0.4">
      <c r="B6" s="64" t="s">
        <v>96</v>
      </c>
      <c r="C6" s="36" t="s">
        <v>546</v>
      </c>
      <c r="D6" s="66">
        <v>2</v>
      </c>
      <c r="E6" s="71"/>
      <c r="F6" s="65" t="s">
        <v>97</v>
      </c>
      <c r="G6" s="64" t="s">
        <v>142</v>
      </c>
      <c r="H6" s="71"/>
      <c r="I6" s="66">
        <v>27</v>
      </c>
      <c r="J6" s="71"/>
      <c r="K6" s="65" t="s">
        <v>143</v>
      </c>
    </row>
    <row r="7" spans="2:11" ht="17.25" customHeight="1" x14ac:dyDescent="0.4">
      <c r="B7" s="64" t="s">
        <v>98</v>
      </c>
      <c r="C7" s="36" t="s">
        <v>546</v>
      </c>
      <c r="D7" s="66">
        <v>3</v>
      </c>
      <c r="E7" s="36"/>
      <c r="F7" s="65" t="s">
        <v>187</v>
      </c>
      <c r="G7" s="64" t="s">
        <v>144</v>
      </c>
      <c r="H7" s="36"/>
      <c r="I7" s="66">
        <v>28</v>
      </c>
      <c r="J7" s="36"/>
      <c r="K7" s="65" t="s">
        <v>145</v>
      </c>
    </row>
    <row r="8" spans="2:11" ht="17.25" customHeight="1" x14ac:dyDescent="0.4">
      <c r="B8" s="64" t="s">
        <v>188</v>
      </c>
      <c r="C8" s="36" t="s">
        <v>546</v>
      </c>
      <c r="D8" s="66">
        <v>4</v>
      </c>
      <c r="E8" s="36"/>
      <c r="F8" s="65" t="s">
        <v>99</v>
      </c>
      <c r="G8" s="64" t="s">
        <v>146</v>
      </c>
      <c r="H8" s="36"/>
      <c r="I8" s="66">
        <v>29</v>
      </c>
      <c r="J8" s="36"/>
      <c r="K8" s="65" t="s">
        <v>147</v>
      </c>
    </row>
    <row r="9" spans="2:11" ht="17.25" customHeight="1" x14ac:dyDescent="0.4">
      <c r="B9" s="64" t="s">
        <v>100</v>
      </c>
      <c r="C9" s="71" t="s">
        <v>546</v>
      </c>
      <c r="D9" s="66">
        <v>5</v>
      </c>
      <c r="E9" s="36"/>
      <c r="F9" s="65" t="s">
        <v>101</v>
      </c>
      <c r="G9" s="64" t="s">
        <v>191</v>
      </c>
      <c r="H9" s="36"/>
      <c r="I9" s="66">
        <v>30</v>
      </c>
      <c r="J9" s="36"/>
      <c r="K9" s="65" t="s">
        <v>192</v>
      </c>
    </row>
    <row r="10" spans="2:11" ht="17.25" customHeight="1" x14ac:dyDescent="0.4">
      <c r="B10" s="64" t="s">
        <v>102</v>
      </c>
      <c r="C10" s="71" t="s">
        <v>546</v>
      </c>
      <c r="D10" s="66">
        <v>6</v>
      </c>
      <c r="E10" s="36"/>
      <c r="F10" s="65" t="s">
        <v>103</v>
      </c>
      <c r="G10" s="64" t="s">
        <v>148</v>
      </c>
      <c r="H10" s="36"/>
      <c r="I10" s="66">
        <v>31</v>
      </c>
      <c r="J10" s="36"/>
      <c r="K10" s="65" t="s">
        <v>149</v>
      </c>
    </row>
    <row r="11" spans="2:11" ht="17.25" customHeight="1" x14ac:dyDescent="0.4">
      <c r="B11" s="64" t="s">
        <v>104</v>
      </c>
      <c r="C11" s="71" t="s">
        <v>546</v>
      </c>
      <c r="D11" s="66">
        <v>7</v>
      </c>
      <c r="E11" s="36"/>
      <c r="F11" s="65" t="s">
        <v>189</v>
      </c>
      <c r="G11" s="64" t="s">
        <v>150</v>
      </c>
      <c r="H11" s="36"/>
      <c r="I11" s="66">
        <v>32</v>
      </c>
      <c r="J11" s="36"/>
      <c r="K11" s="65" t="s">
        <v>151</v>
      </c>
    </row>
    <row r="12" spans="2:11" ht="17.25" customHeight="1" x14ac:dyDescent="0.4">
      <c r="B12" s="64" t="s">
        <v>105</v>
      </c>
      <c r="C12" s="71" t="s">
        <v>546</v>
      </c>
      <c r="D12" s="66">
        <v>8</v>
      </c>
      <c r="E12" s="36"/>
      <c r="F12" s="65" t="s">
        <v>106</v>
      </c>
      <c r="G12" s="64" t="s">
        <v>152</v>
      </c>
      <c r="H12" s="36"/>
      <c r="I12" s="66">
        <v>33</v>
      </c>
      <c r="J12" s="36"/>
      <c r="K12" s="65" t="s">
        <v>153</v>
      </c>
    </row>
    <row r="13" spans="2:11" ht="17.25" customHeight="1" x14ac:dyDescent="0.4">
      <c r="B13" s="64" t="s">
        <v>107</v>
      </c>
      <c r="C13" s="71"/>
      <c r="D13" s="66">
        <v>9</v>
      </c>
      <c r="E13" s="36"/>
      <c r="F13" s="65" t="s">
        <v>108</v>
      </c>
      <c r="G13" s="64" t="s">
        <v>154</v>
      </c>
      <c r="H13" s="36"/>
      <c r="I13" s="66">
        <v>34</v>
      </c>
      <c r="J13" s="71"/>
      <c r="K13" s="65" t="s">
        <v>155</v>
      </c>
    </row>
    <row r="14" spans="2:11" ht="17.25" customHeight="1" x14ac:dyDescent="0.4">
      <c r="B14" s="64" t="s">
        <v>109</v>
      </c>
      <c r="C14" s="71"/>
      <c r="D14" s="66">
        <v>10</v>
      </c>
      <c r="E14" s="36"/>
      <c r="F14" s="65" t="s">
        <v>110</v>
      </c>
      <c r="G14" s="64" t="s">
        <v>156</v>
      </c>
      <c r="H14" s="36"/>
      <c r="I14" s="66">
        <v>35</v>
      </c>
      <c r="J14" s="71" t="s">
        <v>546</v>
      </c>
      <c r="K14" s="65" t="s">
        <v>157</v>
      </c>
    </row>
    <row r="15" spans="2:11" ht="17.25" customHeight="1" x14ac:dyDescent="0.4">
      <c r="B15" s="64" t="s">
        <v>111</v>
      </c>
      <c r="C15" s="71"/>
      <c r="D15" s="66">
        <v>11</v>
      </c>
      <c r="E15" s="36"/>
      <c r="F15" s="65" t="s">
        <v>112</v>
      </c>
      <c r="G15" s="64" t="s">
        <v>158</v>
      </c>
      <c r="H15" s="36"/>
      <c r="I15" s="66">
        <v>36</v>
      </c>
      <c r="J15" s="71" t="s">
        <v>546</v>
      </c>
      <c r="K15" s="65" t="s">
        <v>193</v>
      </c>
    </row>
    <row r="16" spans="2:11" ht="17.25" customHeight="1" x14ac:dyDescent="0.4">
      <c r="B16" s="64" t="s">
        <v>113</v>
      </c>
      <c r="C16" s="71" t="s">
        <v>546</v>
      </c>
      <c r="D16" s="66">
        <v>12</v>
      </c>
      <c r="E16" s="36"/>
      <c r="F16" s="65" t="s">
        <v>114</v>
      </c>
      <c r="G16" s="64" t="s">
        <v>159</v>
      </c>
      <c r="H16" s="36"/>
      <c r="I16" s="66">
        <v>37</v>
      </c>
      <c r="J16" s="71" t="s">
        <v>546</v>
      </c>
      <c r="K16" s="65" t="s">
        <v>160</v>
      </c>
    </row>
    <row r="17" spans="2:11" ht="17.25" customHeight="1" x14ac:dyDescent="0.4">
      <c r="B17" s="64" t="s">
        <v>115</v>
      </c>
      <c r="C17" s="71"/>
      <c r="D17" s="66">
        <v>13</v>
      </c>
      <c r="E17" s="36"/>
      <c r="F17" s="65" t="s">
        <v>117</v>
      </c>
      <c r="G17" s="64" t="s">
        <v>161</v>
      </c>
      <c r="H17" s="36" t="s">
        <v>546</v>
      </c>
      <c r="I17" s="66">
        <v>38</v>
      </c>
      <c r="J17" s="71"/>
      <c r="K17" s="65" t="s">
        <v>162</v>
      </c>
    </row>
    <row r="18" spans="2:11" ht="17.25" customHeight="1" x14ac:dyDescent="0.4">
      <c r="B18" s="64" t="s">
        <v>190</v>
      </c>
      <c r="C18" s="71"/>
      <c r="D18" s="66">
        <v>14</v>
      </c>
      <c r="E18" s="36"/>
      <c r="F18" s="65" t="s">
        <v>116</v>
      </c>
      <c r="G18" s="64" t="s">
        <v>163</v>
      </c>
      <c r="H18" s="36" t="s">
        <v>546</v>
      </c>
      <c r="I18" s="66">
        <v>39</v>
      </c>
      <c r="J18" s="71"/>
      <c r="K18" s="65" t="s">
        <v>164</v>
      </c>
    </row>
    <row r="19" spans="2:11" ht="17.25" customHeight="1" x14ac:dyDescent="0.4">
      <c r="B19" s="64" t="s">
        <v>118</v>
      </c>
      <c r="C19" s="71"/>
      <c r="D19" s="66">
        <v>15</v>
      </c>
      <c r="E19" s="71"/>
      <c r="F19" s="65" t="s">
        <v>119</v>
      </c>
      <c r="G19" s="64" t="s">
        <v>165</v>
      </c>
      <c r="H19" s="36" t="s">
        <v>546</v>
      </c>
      <c r="I19" s="66">
        <v>40</v>
      </c>
      <c r="J19" s="71"/>
      <c r="K19" s="65" t="s">
        <v>166</v>
      </c>
    </row>
    <row r="20" spans="2:11" ht="17.25" customHeight="1" x14ac:dyDescent="0.4">
      <c r="B20" s="64" t="s">
        <v>120</v>
      </c>
      <c r="C20" s="71"/>
      <c r="D20" s="66">
        <v>16</v>
      </c>
      <c r="E20" s="71"/>
      <c r="F20" s="65" t="s">
        <v>121</v>
      </c>
      <c r="G20" s="64" t="s">
        <v>167</v>
      </c>
      <c r="H20" s="36"/>
      <c r="I20" s="66">
        <v>41</v>
      </c>
      <c r="J20" s="36"/>
      <c r="K20" s="65" t="s">
        <v>168</v>
      </c>
    </row>
    <row r="21" spans="2:11" ht="17.25" customHeight="1" x14ac:dyDescent="0.4">
      <c r="B21" s="64" t="s">
        <v>122</v>
      </c>
      <c r="C21" s="71"/>
      <c r="D21" s="66">
        <v>17</v>
      </c>
      <c r="E21" s="36"/>
      <c r="F21" s="65" t="s">
        <v>123</v>
      </c>
      <c r="G21" s="64" t="s">
        <v>169</v>
      </c>
      <c r="H21" s="36"/>
      <c r="I21" s="66">
        <v>42</v>
      </c>
      <c r="J21" s="36"/>
      <c r="K21" s="65" t="s">
        <v>170</v>
      </c>
    </row>
    <row r="22" spans="2:11" ht="17.25" customHeight="1" x14ac:dyDescent="0.4">
      <c r="B22" s="64" t="s">
        <v>124</v>
      </c>
      <c r="C22" s="71"/>
      <c r="D22" s="66">
        <v>18</v>
      </c>
      <c r="E22" s="71"/>
      <c r="F22" s="65" t="s">
        <v>125</v>
      </c>
      <c r="G22" s="64" t="s">
        <v>171</v>
      </c>
      <c r="H22" s="36"/>
      <c r="I22" s="66">
        <v>43</v>
      </c>
      <c r="J22" s="36"/>
      <c r="K22" s="65" t="s">
        <v>172</v>
      </c>
    </row>
    <row r="23" spans="2:11" ht="17.25" customHeight="1" x14ac:dyDescent="0.4">
      <c r="B23" s="64" t="s">
        <v>126</v>
      </c>
      <c r="C23" s="71"/>
      <c r="D23" s="66">
        <v>19</v>
      </c>
      <c r="E23" s="36"/>
      <c r="F23" s="65" t="s">
        <v>127</v>
      </c>
      <c r="G23" s="64" t="s">
        <v>173</v>
      </c>
      <c r="H23" s="36"/>
      <c r="I23" s="66">
        <v>44</v>
      </c>
      <c r="J23" s="36"/>
      <c r="K23" s="65" t="s">
        <v>174</v>
      </c>
    </row>
    <row r="24" spans="2:11" ht="17.25" customHeight="1" x14ac:dyDescent="0.4">
      <c r="B24" s="64" t="s">
        <v>128</v>
      </c>
      <c r="C24" s="71"/>
      <c r="D24" s="66">
        <v>20</v>
      </c>
      <c r="E24" s="36"/>
      <c r="F24" s="65" t="s">
        <v>129</v>
      </c>
      <c r="G24" s="64" t="s">
        <v>175</v>
      </c>
      <c r="H24" s="36"/>
      <c r="I24" s="66">
        <v>45</v>
      </c>
      <c r="J24" s="36"/>
      <c r="K24" s="65" t="s">
        <v>176</v>
      </c>
    </row>
    <row r="25" spans="2:11" ht="17.25" customHeight="1" x14ac:dyDescent="0.4">
      <c r="B25" s="64" t="s">
        <v>130</v>
      </c>
      <c r="C25" s="36"/>
      <c r="D25" s="66">
        <v>21</v>
      </c>
      <c r="E25" s="36"/>
      <c r="F25" s="65" t="s">
        <v>131</v>
      </c>
      <c r="G25" s="64" t="s">
        <v>177</v>
      </c>
      <c r="H25" s="36"/>
      <c r="I25" s="66">
        <v>46</v>
      </c>
      <c r="J25" s="36"/>
      <c r="K25" s="65" t="s">
        <v>178</v>
      </c>
    </row>
    <row r="26" spans="2:11" ht="17.25" customHeight="1" x14ac:dyDescent="0.4">
      <c r="B26" s="64" t="s">
        <v>132</v>
      </c>
      <c r="C26" s="71"/>
      <c r="D26" s="66">
        <v>22</v>
      </c>
      <c r="E26" s="71"/>
      <c r="F26" s="65" t="s">
        <v>133</v>
      </c>
      <c r="G26" s="64" t="s">
        <v>179</v>
      </c>
      <c r="H26" s="36"/>
      <c r="I26" s="66">
        <v>47</v>
      </c>
      <c r="J26" s="36"/>
      <c r="K26" s="65" t="s">
        <v>180</v>
      </c>
    </row>
    <row r="27" spans="2:11" ht="17.25" customHeight="1" x14ac:dyDescent="0.4">
      <c r="B27" s="64" t="s">
        <v>134</v>
      </c>
      <c r="C27" s="36"/>
      <c r="D27" s="66">
        <v>23</v>
      </c>
      <c r="E27" s="36"/>
      <c r="F27" s="65" t="s">
        <v>135</v>
      </c>
      <c r="G27" s="64" t="s">
        <v>181</v>
      </c>
      <c r="H27" s="36"/>
      <c r="I27" s="66">
        <v>48</v>
      </c>
      <c r="J27" s="36"/>
      <c r="K27" s="65" t="s">
        <v>182</v>
      </c>
    </row>
    <row r="28" spans="2:11" ht="17.25" customHeight="1" x14ac:dyDescent="0.4">
      <c r="B28" s="64" t="s">
        <v>136</v>
      </c>
      <c r="C28" s="36"/>
      <c r="D28" s="66">
        <v>24</v>
      </c>
      <c r="E28" s="71"/>
      <c r="F28" s="65" t="s">
        <v>137</v>
      </c>
      <c r="G28" s="64" t="s">
        <v>183</v>
      </c>
      <c r="H28" s="36"/>
      <c r="I28" s="66">
        <v>49</v>
      </c>
      <c r="J28" s="36"/>
      <c r="K28" s="65" t="s">
        <v>184</v>
      </c>
    </row>
    <row r="29" spans="2:11" ht="17.25" customHeight="1" x14ac:dyDescent="0.4">
      <c r="B29" s="64" t="s">
        <v>138</v>
      </c>
      <c r="C29" s="71"/>
      <c r="D29" s="66">
        <v>25</v>
      </c>
      <c r="E29" s="71"/>
      <c r="F29" s="65" t="s">
        <v>139</v>
      </c>
      <c r="G29" s="64" t="s">
        <v>185</v>
      </c>
      <c r="H29" s="36"/>
      <c r="I29" s="66">
        <v>50</v>
      </c>
      <c r="J29" s="36"/>
      <c r="K29" s="65" t="s">
        <v>186</v>
      </c>
    </row>
    <row r="52" spans="6:9" x14ac:dyDescent="0.4">
      <c r="F52" s="110"/>
      <c r="G52" s="69"/>
      <c r="H52" s="69"/>
      <c r="I52" s="69"/>
    </row>
    <row r="53" spans="6:9" x14ac:dyDescent="0.4">
      <c r="F53" s="110"/>
      <c r="G53" s="68" t="s">
        <v>194</v>
      </c>
      <c r="H53" s="69">
        <f>COUNTIF(C5:C29, "x")+COUNTIF(H5:H29, "x")</f>
        <v>11</v>
      </c>
      <c r="I53" s="69"/>
    </row>
    <row r="54" spans="6:9" x14ac:dyDescent="0.4">
      <c r="F54" s="110"/>
      <c r="G54" s="68" t="s">
        <v>195</v>
      </c>
      <c r="H54" s="69">
        <f>COUNTIF(E5:E29, "x")+COUNTIF(J5:J29, "x")</f>
        <v>4</v>
      </c>
      <c r="I54" s="69"/>
    </row>
    <row r="55" spans="6:9" x14ac:dyDescent="0.4">
      <c r="F55" s="110"/>
      <c r="G55" s="69"/>
      <c r="H55" s="69"/>
      <c r="I55" s="69"/>
    </row>
  </sheetData>
  <sheetProtection password="CFC0" sheet="1" objects="1" scenarios="1"/>
  <mergeCells count="6">
    <mergeCell ref="B1:K1"/>
    <mergeCell ref="B3:C3"/>
    <mergeCell ref="E3:F3"/>
    <mergeCell ref="G3:H3"/>
    <mergeCell ref="J3:K3"/>
    <mergeCell ref="B2:K2"/>
  </mergeCells>
  <conditionalFormatting sqref="B5">
    <cfRule type="iconSet" priority="6">
      <iconSet iconSet="3Arrows">
        <cfvo type="percent" val="0"/>
        <cfvo type="percent" val="33"/>
        <cfvo type="percent" val="67"/>
      </iconSet>
    </cfRule>
    <cfRule type="cellIs" dxfId="18" priority="9" operator="equal">
      <formula>"x"</formula>
    </cfRule>
    <cfRule type="dataBar" priority="10">
      <dataBar>
        <cfvo type="min"/>
        <cfvo type="max"/>
        <color rgb="FF638EC6"/>
      </dataBar>
    </cfRule>
    <cfRule type="dataBar" priority="11">
      <dataBar>
        <cfvo type="min"/>
        <cfvo type="max"/>
        <color rgb="FF638EC6"/>
      </dataBar>
    </cfRule>
  </conditionalFormatting>
  <conditionalFormatting sqref="C5:C29 E5:E29 H5:H29 J5:J29 E55:E1048576">
    <cfRule type="cellIs" dxfId="17" priority="3" operator="equal">
      <formula>"x"</formula>
    </cfRule>
  </conditionalFormatting>
  <conditionalFormatting sqref="C5:C29 H5:H29 C55:C1048576">
    <cfRule type="cellIs" dxfId="16" priority="4" operator="equal">
      <formula>"x"</formula>
    </cfRule>
  </conditionalFormatting>
  <pageMargins left="0.23622047244094491" right="0.23622047244094491" top="0.74803149606299213" bottom="0.74803149606299213" header="0.31496062992125984" footer="0.31496062992125984"/>
  <pageSetup paperSize="9" scale="91" orientation="landscape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O44"/>
  <sheetViews>
    <sheetView showGridLines="0" zoomScaleNormal="100" workbookViewId="0">
      <pane ySplit="3" topLeftCell="A4" activePane="bottomLeft" state="frozen"/>
      <selection activeCell="B1" sqref="B1"/>
      <selection pane="bottomLeft" activeCell="N5" sqref="N5"/>
    </sheetView>
  </sheetViews>
  <sheetFormatPr defaultRowHeight="12.3" x14ac:dyDescent="0.4"/>
  <cols>
    <col min="1" max="1" width="3.83203125" customWidth="1"/>
    <col min="2" max="2" width="21.27734375" style="63" customWidth="1"/>
    <col min="3" max="3" width="3.27734375" style="1" customWidth="1"/>
    <col min="4" max="4" width="4.71875" style="1" customWidth="1"/>
    <col min="5" max="5" width="3.27734375" style="1" customWidth="1"/>
    <col min="6" max="6" width="20.83203125" style="62" customWidth="1"/>
    <col min="7" max="7" width="20.83203125" customWidth="1"/>
    <col min="8" max="8" width="3.27734375" customWidth="1"/>
    <col min="9" max="9" width="4.71875" customWidth="1"/>
    <col min="10" max="10" width="3.27734375" customWidth="1"/>
    <col min="11" max="11" width="20.83203125" customWidth="1"/>
    <col min="12" max="12" width="3.44140625" customWidth="1"/>
  </cols>
  <sheetData>
    <row r="1" spans="2:11" ht="17.7" x14ac:dyDescent="0.4">
      <c r="B1" s="216" t="s">
        <v>477</v>
      </c>
      <c r="C1" s="216"/>
      <c r="D1" s="216"/>
      <c r="E1" s="216"/>
      <c r="F1" s="216"/>
      <c r="G1" s="216"/>
      <c r="H1" s="216"/>
      <c r="I1" s="216"/>
      <c r="J1" s="216"/>
      <c r="K1" s="216"/>
    </row>
    <row r="2" spans="2:11" x14ac:dyDescent="0.4">
      <c r="B2" s="246" t="s">
        <v>196</v>
      </c>
      <c r="C2" s="246"/>
      <c r="D2" s="246"/>
      <c r="E2" s="246"/>
      <c r="F2" s="246"/>
      <c r="G2" s="246"/>
      <c r="H2" s="246"/>
      <c r="I2" s="246"/>
      <c r="J2" s="246"/>
      <c r="K2" s="246"/>
    </row>
    <row r="3" spans="2:11" s="67" customFormat="1" ht="17.25" customHeight="1" thickBot="1" x14ac:dyDescent="0.45">
      <c r="B3" s="244" t="s">
        <v>194</v>
      </c>
      <c r="C3" s="244"/>
      <c r="D3" s="70" t="s">
        <v>197</v>
      </c>
      <c r="E3" s="245" t="s">
        <v>195</v>
      </c>
      <c r="F3" s="245"/>
      <c r="G3" s="244" t="s">
        <v>194</v>
      </c>
      <c r="H3" s="244"/>
      <c r="I3" s="70" t="s">
        <v>197</v>
      </c>
      <c r="J3" s="245" t="s">
        <v>195</v>
      </c>
      <c r="K3" s="245"/>
    </row>
    <row r="4" spans="2:11" s="67" customFormat="1" ht="4.5" customHeight="1" x14ac:dyDescent="0.4">
      <c r="B4" s="174"/>
      <c r="C4" s="174"/>
      <c r="D4" s="175"/>
      <c r="E4" s="174"/>
      <c r="F4" s="174"/>
      <c r="G4" s="174"/>
      <c r="H4" s="174"/>
      <c r="I4" s="175"/>
      <c r="J4" s="174"/>
      <c r="K4" s="174"/>
    </row>
    <row r="5" spans="2:11" ht="17.25" customHeight="1" x14ac:dyDescent="0.4">
      <c r="B5" s="64" t="s">
        <v>94</v>
      </c>
      <c r="C5" s="71"/>
      <c r="D5" s="66">
        <v>1</v>
      </c>
      <c r="E5" s="36"/>
      <c r="F5" s="65" t="s">
        <v>95</v>
      </c>
      <c r="G5" s="64" t="s">
        <v>140</v>
      </c>
      <c r="H5" s="71"/>
      <c r="I5" s="66">
        <v>26</v>
      </c>
      <c r="J5" s="71"/>
      <c r="K5" s="65" t="s">
        <v>141</v>
      </c>
    </row>
    <row r="6" spans="2:11" ht="17.25" customHeight="1" x14ac:dyDescent="0.4">
      <c r="B6" s="64" t="s">
        <v>96</v>
      </c>
      <c r="C6" s="71"/>
      <c r="D6" s="66">
        <v>2</v>
      </c>
      <c r="E6" s="36"/>
      <c r="F6" s="65" t="s">
        <v>97</v>
      </c>
      <c r="G6" s="64" t="s">
        <v>142</v>
      </c>
      <c r="H6" s="71"/>
      <c r="I6" s="66">
        <v>27</v>
      </c>
      <c r="J6" s="71"/>
      <c r="K6" s="65" t="s">
        <v>143</v>
      </c>
    </row>
    <row r="7" spans="2:11" ht="17.25" customHeight="1" x14ac:dyDescent="0.4">
      <c r="B7" s="64" t="s">
        <v>98</v>
      </c>
      <c r="C7" s="36"/>
      <c r="D7" s="66">
        <v>3</v>
      </c>
      <c r="E7" s="36"/>
      <c r="F7" s="65" t="s">
        <v>187</v>
      </c>
      <c r="G7" s="64" t="s">
        <v>144</v>
      </c>
      <c r="H7" s="71"/>
      <c r="I7" s="66">
        <v>28</v>
      </c>
      <c r="J7" s="36"/>
      <c r="K7" s="65" t="s">
        <v>145</v>
      </c>
    </row>
    <row r="8" spans="2:11" ht="17.25" customHeight="1" x14ac:dyDescent="0.4">
      <c r="B8" s="64" t="s">
        <v>188</v>
      </c>
      <c r="C8" s="36"/>
      <c r="D8" s="66">
        <v>4</v>
      </c>
      <c r="E8" s="36"/>
      <c r="F8" s="65" t="s">
        <v>99</v>
      </c>
      <c r="G8" s="64" t="s">
        <v>146</v>
      </c>
      <c r="H8" s="71"/>
      <c r="I8" s="66">
        <v>29</v>
      </c>
      <c r="J8" s="36"/>
      <c r="K8" s="65" t="s">
        <v>147</v>
      </c>
    </row>
    <row r="9" spans="2:11" ht="17.25" customHeight="1" x14ac:dyDescent="0.4">
      <c r="B9" s="64" t="s">
        <v>100</v>
      </c>
      <c r="C9" s="71"/>
      <c r="D9" s="66">
        <v>5</v>
      </c>
      <c r="E9" s="36"/>
      <c r="F9" s="65" t="s">
        <v>101</v>
      </c>
      <c r="G9" s="64" t="s">
        <v>191</v>
      </c>
      <c r="H9" s="71"/>
      <c r="I9" s="66">
        <v>30</v>
      </c>
      <c r="J9" s="36"/>
      <c r="K9" s="65" t="s">
        <v>192</v>
      </c>
    </row>
    <row r="10" spans="2:11" ht="17.25" customHeight="1" x14ac:dyDescent="0.4">
      <c r="B10" s="64" t="s">
        <v>102</v>
      </c>
      <c r="C10" s="71"/>
      <c r="D10" s="66">
        <v>6</v>
      </c>
      <c r="E10" s="36"/>
      <c r="F10" s="65" t="s">
        <v>103</v>
      </c>
      <c r="G10" s="64" t="s">
        <v>148</v>
      </c>
      <c r="H10" s="71"/>
      <c r="I10" s="66">
        <v>31</v>
      </c>
      <c r="J10" s="36"/>
      <c r="K10" s="65" t="s">
        <v>149</v>
      </c>
    </row>
    <row r="11" spans="2:11" ht="17.25" customHeight="1" x14ac:dyDescent="0.4">
      <c r="B11" s="64" t="s">
        <v>104</v>
      </c>
      <c r="C11" s="71"/>
      <c r="D11" s="66">
        <v>7</v>
      </c>
      <c r="E11" s="36"/>
      <c r="F11" s="65" t="s">
        <v>189</v>
      </c>
      <c r="G11" s="64" t="s">
        <v>150</v>
      </c>
      <c r="H11" s="71"/>
      <c r="I11" s="66">
        <v>32</v>
      </c>
      <c r="J11" s="36"/>
      <c r="K11" s="65" t="s">
        <v>151</v>
      </c>
    </row>
    <row r="12" spans="2:11" ht="17.25" customHeight="1" x14ac:dyDescent="0.4">
      <c r="B12" s="64" t="s">
        <v>105</v>
      </c>
      <c r="C12" s="71"/>
      <c r="D12" s="66">
        <v>8</v>
      </c>
      <c r="E12" s="36"/>
      <c r="F12" s="65" t="s">
        <v>106</v>
      </c>
      <c r="G12" s="64" t="s">
        <v>152</v>
      </c>
      <c r="H12" s="71"/>
      <c r="I12" s="66">
        <v>33</v>
      </c>
      <c r="J12" s="36"/>
      <c r="K12" s="65" t="s">
        <v>153</v>
      </c>
    </row>
    <row r="13" spans="2:11" ht="17.25" customHeight="1" x14ac:dyDescent="0.4">
      <c r="B13" s="64" t="s">
        <v>107</v>
      </c>
      <c r="C13" s="71"/>
      <c r="D13" s="66">
        <v>9</v>
      </c>
      <c r="E13" s="36"/>
      <c r="F13" s="65" t="s">
        <v>108</v>
      </c>
      <c r="G13" s="64" t="s">
        <v>154</v>
      </c>
      <c r="H13" s="36"/>
      <c r="I13" s="66">
        <v>34</v>
      </c>
      <c r="J13" s="71"/>
      <c r="K13" s="65" t="s">
        <v>155</v>
      </c>
    </row>
    <row r="14" spans="2:11" ht="17.25" customHeight="1" x14ac:dyDescent="0.4">
      <c r="B14" s="64" t="s">
        <v>109</v>
      </c>
      <c r="C14" s="71"/>
      <c r="D14" s="66">
        <v>10</v>
      </c>
      <c r="E14" s="36"/>
      <c r="F14" s="65" t="s">
        <v>110</v>
      </c>
      <c r="G14" s="64" t="s">
        <v>156</v>
      </c>
      <c r="H14" s="36"/>
      <c r="I14" s="66">
        <v>35</v>
      </c>
      <c r="J14" s="71"/>
      <c r="K14" s="65" t="s">
        <v>157</v>
      </c>
    </row>
    <row r="15" spans="2:11" ht="17.25" customHeight="1" x14ac:dyDescent="0.4">
      <c r="B15" s="64" t="s">
        <v>111</v>
      </c>
      <c r="C15" s="71"/>
      <c r="D15" s="66">
        <v>11</v>
      </c>
      <c r="E15" s="36"/>
      <c r="F15" s="65" t="s">
        <v>112</v>
      </c>
      <c r="G15" s="64" t="s">
        <v>158</v>
      </c>
      <c r="H15" s="36"/>
      <c r="I15" s="66">
        <v>36</v>
      </c>
      <c r="J15" s="71"/>
      <c r="K15" s="65" t="s">
        <v>193</v>
      </c>
    </row>
    <row r="16" spans="2:11" ht="17.25" customHeight="1" x14ac:dyDescent="0.4">
      <c r="B16" s="64" t="s">
        <v>113</v>
      </c>
      <c r="C16" s="71"/>
      <c r="D16" s="66">
        <v>12</v>
      </c>
      <c r="E16" s="36"/>
      <c r="F16" s="65" t="s">
        <v>114</v>
      </c>
      <c r="G16" s="64" t="s">
        <v>159</v>
      </c>
      <c r="H16" s="36"/>
      <c r="I16" s="66">
        <v>37</v>
      </c>
      <c r="J16" s="71"/>
      <c r="K16" s="65" t="s">
        <v>160</v>
      </c>
    </row>
    <row r="17" spans="2:11" ht="17.25" customHeight="1" x14ac:dyDescent="0.4">
      <c r="B17" s="64" t="s">
        <v>115</v>
      </c>
      <c r="C17" s="71"/>
      <c r="D17" s="66">
        <v>13</v>
      </c>
      <c r="E17" s="36"/>
      <c r="F17" s="65" t="s">
        <v>117</v>
      </c>
      <c r="G17" s="64" t="s">
        <v>161</v>
      </c>
      <c r="H17" s="36"/>
      <c r="I17" s="66">
        <v>38</v>
      </c>
      <c r="J17" s="71"/>
      <c r="K17" s="65" t="s">
        <v>162</v>
      </c>
    </row>
    <row r="18" spans="2:11" ht="17.25" customHeight="1" x14ac:dyDescent="0.4">
      <c r="B18" s="64" t="s">
        <v>190</v>
      </c>
      <c r="C18" s="71"/>
      <c r="D18" s="66">
        <v>14</v>
      </c>
      <c r="E18" s="36"/>
      <c r="F18" s="65" t="s">
        <v>116</v>
      </c>
      <c r="G18" s="64" t="s">
        <v>163</v>
      </c>
      <c r="H18" s="36"/>
      <c r="I18" s="66">
        <v>39</v>
      </c>
      <c r="J18" s="71"/>
      <c r="K18" s="65" t="s">
        <v>164</v>
      </c>
    </row>
    <row r="19" spans="2:11" ht="17.25" customHeight="1" x14ac:dyDescent="0.4">
      <c r="B19" s="64" t="s">
        <v>118</v>
      </c>
      <c r="C19" s="71"/>
      <c r="D19" s="66">
        <v>15</v>
      </c>
      <c r="E19" s="71"/>
      <c r="F19" s="65" t="s">
        <v>119</v>
      </c>
      <c r="G19" s="64" t="s">
        <v>165</v>
      </c>
      <c r="H19" s="36"/>
      <c r="I19" s="66">
        <v>40</v>
      </c>
      <c r="J19" s="71"/>
      <c r="K19" s="65" t="s">
        <v>166</v>
      </c>
    </row>
    <row r="20" spans="2:11" ht="17.25" customHeight="1" x14ac:dyDescent="0.4">
      <c r="B20" s="64" t="s">
        <v>120</v>
      </c>
      <c r="C20" s="71"/>
      <c r="D20" s="66">
        <v>16</v>
      </c>
      <c r="E20" s="71"/>
      <c r="F20" s="65" t="s">
        <v>121</v>
      </c>
      <c r="G20" s="64" t="s">
        <v>167</v>
      </c>
      <c r="H20" s="36"/>
      <c r="I20" s="66">
        <v>41</v>
      </c>
      <c r="J20" s="36"/>
      <c r="K20" s="65" t="s">
        <v>168</v>
      </c>
    </row>
    <row r="21" spans="2:11" ht="17.25" customHeight="1" x14ac:dyDescent="0.4">
      <c r="B21" s="64" t="s">
        <v>122</v>
      </c>
      <c r="C21" s="71"/>
      <c r="D21" s="66">
        <v>17</v>
      </c>
      <c r="E21" s="36"/>
      <c r="F21" s="65" t="s">
        <v>123</v>
      </c>
      <c r="G21" s="64" t="s">
        <v>169</v>
      </c>
      <c r="H21" s="36"/>
      <c r="I21" s="66">
        <v>42</v>
      </c>
      <c r="J21" s="36"/>
      <c r="K21" s="65" t="s">
        <v>170</v>
      </c>
    </row>
    <row r="22" spans="2:11" ht="17.25" customHeight="1" x14ac:dyDescent="0.4">
      <c r="B22" s="64" t="s">
        <v>124</v>
      </c>
      <c r="C22" s="71"/>
      <c r="D22" s="66">
        <v>18</v>
      </c>
      <c r="E22" s="71"/>
      <c r="F22" s="65" t="s">
        <v>125</v>
      </c>
      <c r="G22" s="64" t="s">
        <v>171</v>
      </c>
      <c r="H22" s="36"/>
      <c r="I22" s="66">
        <v>43</v>
      </c>
      <c r="J22" s="36"/>
      <c r="K22" s="65" t="s">
        <v>172</v>
      </c>
    </row>
    <row r="23" spans="2:11" ht="17.25" customHeight="1" x14ac:dyDescent="0.4">
      <c r="B23" s="64" t="s">
        <v>126</v>
      </c>
      <c r="C23" s="71"/>
      <c r="D23" s="66">
        <v>19</v>
      </c>
      <c r="E23" s="36"/>
      <c r="F23" s="65" t="s">
        <v>127</v>
      </c>
      <c r="G23" s="64" t="s">
        <v>173</v>
      </c>
      <c r="H23" s="36"/>
      <c r="I23" s="66">
        <v>44</v>
      </c>
      <c r="J23" s="36"/>
      <c r="K23" s="65" t="s">
        <v>174</v>
      </c>
    </row>
    <row r="24" spans="2:11" ht="17.25" customHeight="1" x14ac:dyDescent="0.4">
      <c r="B24" s="64" t="s">
        <v>128</v>
      </c>
      <c r="C24" s="71"/>
      <c r="D24" s="66">
        <v>20</v>
      </c>
      <c r="E24" s="36"/>
      <c r="F24" s="65" t="s">
        <v>129</v>
      </c>
      <c r="G24" s="64" t="s">
        <v>175</v>
      </c>
      <c r="H24" s="36"/>
      <c r="I24" s="66">
        <v>45</v>
      </c>
      <c r="J24" s="36"/>
      <c r="K24" s="65" t="s">
        <v>176</v>
      </c>
    </row>
    <row r="25" spans="2:11" ht="17.25" customHeight="1" x14ac:dyDescent="0.4">
      <c r="B25" s="64" t="s">
        <v>130</v>
      </c>
      <c r="C25" s="36"/>
      <c r="D25" s="66">
        <v>21</v>
      </c>
      <c r="E25" s="36"/>
      <c r="F25" s="65" t="s">
        <v>131</v>
      </c>
      <c r="G25" s="64" t="s">
        <v>177</v>
      </c>
      <c r="H25" s="36"/>
      <c r="I25" s="66">
        <v>46</v>
      </c>
      <c r="J25" s="36"/>
      <c r="K25" s="65" t="s">
        <v>178</v>
      </c>
    </row>
    <row r="26" spans="2:11" ht="17.25" customHeight="1" x14ac:dyDescent="0.4">
      <c r="B26" s="64" t="s">
        <v>132</v>
      </c>
      <c r="C26" s="71"/>
      <c r="D26" s="66">
        <v>22</v>
      </c>
      <c r="E26" s="71"/>
      <c r="F26" s="65" t="s">
        <v>133</v>
      </c>
      <c r="G26" s="64" t="s">
        <v>179</v>
      </c>
      <c r="H26" s="36"/>
      <c r="I26" s="66">
        <v>47</v>
      </c>
      <c r="J26" s="36"/>
      <c r="K26" s="65" t="s">
        <v>180</v>
      </c>
    </row>
    <row r="27" spans="2:11" ht="17.25" customHeight="1" x14ac:dyDescent="0.4">
      <c r="B27" s="64" t="s">
        <v>134</v>
      </c>
      <c r="C27" s="71"/>
      <c r="D27" s="66">
        <v>23</v>
      </c>
      <c r="E27" s="36"/>
      <c r="F27" s="65" t="s">
        <v>135</v>
      </c>
      <c r="G27" s="64" t="s">
        <v>181</v>
      </c>
      <c r="H27" s="36"/>
      <c r="I27" s="66">
        <v>48</v>
      </c>
      <c r="J27" s="36"/>
      <c r="K27" s="65" t="s">
        <v>182</v>
      </c>
    </row>
    <row r="28" spans="2:11" ht="17.25" customHeight="1" x14ac:dyDescent="0.4">
      <c r="B28" s="64" t="s">
        <v>136</v>
      </c>
      <c r="C28" s="36"/>
      <c r="D28" s="66">
        <v>24</v>
      </c>
      <c r="E28" s="71"/>
      <c r="F28" s="65" t="s">
        <v>137</v>
      </c>
      <c r="G28" s="64" t="s">
        <v>183</v>
      </c>
      <c r="H28" s="36"/>
      <c r="I28" s="66">
        <v>49</v>
      </c>
      <c r="J28" s="36"/>
      <c r="K28" s="65" t="s">
        <v>184</v>
      </c>
    </row>
    <row r="29" spans="2:11" ht="17.25" customHeight="1" x14ac:dyDescent="0.4">
      <c r="B29" s="64" t="s">
        <v>138</v>
      </c>
      <c r="C29" s="71"/>
      <c r="D29" s="66">
        <v>25</v>
      </c>
      <c r="E29" s="71"/>
      <c r="F29" s="65" t="s">
        <v>139</v>
      </c>
      <c r="G29" s="64" t="s">
        <v>185</v>
      </c>
      <c r="H29" s="36"/>
      <c r="I29" s="66">
        <v>50</v>
      </c>
      <c r="J29" s="36"/>
      <c r="K29" s="65" t="s">
        <v>186</v>
      </c>
    </row>
    <row r="43" spans="14:15" x14ac:dyDescent="0.4">
      <c r="N43" s="68" t="s">
        <v>194</v>
      </c>
      <c r="O43" s="69">
        <f>COUNTIF(C5:C29, "x")+COUNTIF(H5:H29, "x")</f>
        <v>0</v>
      </c>
    </row>
    <row r="44" spans="14:15" x14ac:dyDescent="0.4">
      <c r="N44" s="68" t="s">
        <v>195</v>
      </c>
      <c r="O44" s="69">
        <f>COUNTIF(E5:E29, "x")+COUNTIF(J5:J29, "x")</f>
        <v>0</v>
      </c>
    </row>
  </sheetData>
  <sheetProtection password="CFC0" sheet="1" objects="1" scenarios="1"/>
  <mergeCells count="6">
    <mergeCell ref="B1:K1"/>
    <mergeCell ref="B2:K2"/>
    <mergeCell ref="B3:C3"/>
    <mergeCell ref="E3:F3"/>
    <mergeCell ref="G3:H3"/>
    <mergeCell ref="J3:K3"/>
  </mergeCells>
  <conditionalFormatting sqref="B5">
    <cfRule type="cellIs" dxfId="15" priority="5" operator="equal">
      <formula>"x"</formula>
    </cfRule>
    <cfRule type="dataBar" priority="6">
      <dataBar>
        <cfvo type="min"/>
        <cfvo type="max"/>
        <color rgb="FF638EC6"/>
      </dataBar>
    </cfRule>
    <cfRule type="dataBar" priority="7">
      <dataBar>
        <cfvo type="min"/>
        <cfvo type="max"/>
        <color rgb="FF638EC6"/>
      </dataBar>
    </cfRule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C5:C29 E5:E29 H5:H29 J5:J29 E55:E1048576">
    <cfRule type="cellIs" dxfId="14" priority="3" operator="equal">
      <formula>"x"</formula>
    </cfRule>
  </conditionalFormatting>
  <conditionalFormatting sqref="C5:C29 H5:H29 C55:C1048576">
    <cfRule type="cellIs" dxfId="13" priority="4" operator="equal">
      <formula>"x"</formula>
    </cfRule>
  </conditionalFormatting>
  <pageMargins left="0.23622047244094491" right="0.23622047244094491" top="0.74803149606299213" bottom="0.74803149606299213" header="0.31496062992125984" footer="0.31496062992125984"/>
  <pageSetup paperSize="9" scale="91" orientation="landscape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Z59"/>
  <sheetViews>
    <sheetView showGridLines="0" zoomScaleNormal="100" workbookViewId="0">
      <pane ySplit="3" topLeftCell="A4" activePane="bottomLeft" state="frozen"/>
      <selection activeCell="B1" sqref="B1"/>
      <selection pane="bottomLeft" activeCell="F6" sqref="F6"/>
    </sheetView>
  </sheetViews>
  <sheetFormatPr defaultRowHeight="12.3" x14ac:dyDescent="0.4"/>
  <cols>
    <col min="1" max="1" width="3.83203125" customWidth="1"/>
    <col min="2" max="2" width="21.27734375" style="63" customWidth="1"/>
    <col min="3" max="3" width="3.27734375" style="1" customWidth="1"/>
    <col min="4" max="4" width="4.71875" style="1" customWidth="1"/>
    <col min="5" max="5" width="3.27734375" style="1" customWidth="1"/>
    <col min="6" max="6" width="20.83203125" style="62" customWidth="1"/>
    <col min="7" max="7" width="20.83203125" customWidth="1"/>
    <col min="8" max="8" width="3.27734375" customWidth="1"/>
    <col min="9" max="9" width="4.71875" customWidth="1"/>
    <col min="10" max="10" width="3.27734375" customWidth="1"/>
    <col min="11" max="11" width="20.83203125" customWidth="1"/>
    <col min="12" max="12" width="3.44140625" customWidth="1"/>
    <col min="15" max="26" width="0" style="35" hidden="1" customWidth="1"/>
  </cols>
  <sheetData>
    <row r="1" spans="2:26" ht="17.7" x14ac:dyDescent="0.4">
      <c r="B1" s="216" t="s">
        <v>221</v>
      </c>
      <c r="C1" s="216"/>
      <c r="D1" s="216"/>
      <c r="E1" s="216"/>
      <c r="F1" s="216"/>
      <c r="G1" s="216"/>
      <c r="H1" s="216"/>
      <c r="I1" s="216"/>
      <c r="J1" s="216"/>
      <c r="K1" s="216"/>
      <c r="N1" s="109"/>
      <c r="O1" s="172"/>
      <c r="P1" s="172"/>
      <c r="Q1" s="172"/>
      <c r="R1" s="172"/>
      <c r="S1" s="172"/>
      <c r="T1" s="172"/>
    </row>
    <row r="2" spans="2:26" x14ac:dyDescent="0.4">
      <c r="B2" s="246" t="s">
        <v>478</v>
      </c>
      <c r="C2" s="246"/>
      <c r="D2" s="246"/>
      <c r="E2" s="246"/>
      <c r="F2" s="246"/>
      <c r="G2" s="246"/>
      <c r="H2" s="246"/>
      <c r="I2" s="246"/>
      <c r="J2" s="246"/>
      <c r="K2" s="246"/>
      <c r="N2" s="109"/>
      <c r="O2" s="172"/>
      <c r="P2" s="172"/>
      <c r="Q2" s="172"/>
      <c r="R2" s="172"/>
      <c r="S2" s="172"/>
      <c r="T2" s="172"/>
    </row>
    <row r="3" spans="2:26" s="67" customFormat="1" ht="17.25" customHeight="1" thickBot="1" x14ac:dyDescent="0.45">
      <c r="B3" s="244" t="s">
        <v>194</v>
      </c>
      <c r="C3" s="244"/>
      <c r="D3" s="70" t="s">
        <v>197</v>
      </c>
      <c r="E3" s="245" t="s">
        <v>195</v>
      </c>
      <c r="F3" s="245"/>
      <c r="G3" s="244" t="s">
        <v>194</v>
      </c>
      <c r="H3" s="244"/>
      <c r="I3" s="70" t="s">
        <v>197</v>
      </c>
      <c r="J3" s="245" t="s">
        <v>195</v>
      </c>
      <c r="K3" s="245"/>
      <c r="O3" s="173" t="s">
        <v>214</v>
      </c>
      <c r="P3" s="173" t="s">
        <v>216</v>
      </c>
      <c r="Q3" s="173" t="s">
        <v>218</v>
      </c>
      <c r="R3" s="173" t="s">
        <v>215</v>
      </c>
      <c r="S3" s="173" t="s">
        <v>217</v>
      </c>
      <c r="T3" s="173" t="s">
        <v>218</v>
      </c>
      <c r="U3" s="173" t="s">
        <v>214</v>
      </c>
      <c r="V3" s="173" t="s">
        <v>216</v>
      </c>
      <c r="W3" s="173" t="s">
        <v>218</v>
      </c>
      <c r="X3" s="173" t="s">
        <v>215</v>
      </c>
      <c r="Y3" s="173" t="s">
        <v>217</v>
      </c>
      <c r="Z3" s="173" t="s">
        <v>218</v>
      </c>
    </row>
    <row r="4" spans="2:26" s="67" customFormat="1" ht="5.25" customHeight="1" x14ac:dyDescent="0.4">
      <c r="B4" s="174"/>
      <c r="C4" s="174"/>
      <c r="D4" s="175"/>
      <c r="E4" s="174"/>
      <c r="F4" s="174"/>
      <c r="G4" s="174"/>
      <c r="H4" s="174"/>
      <c r="I4" s="175"/>
      <c r="J4" s="174"/>
      <c r="K4" s="174"/>
      <c r="O4" s="173"/>
      <c r="P4" s="173"/>
      <c r="Q4" s="173"/>
      <c r="R4" s="173"/>
      <c r="S4" s="173"/>
      <c r="T4" s="173"/>
      <c r="U4" s="173"/>
      <c r="V4" s="173"/>
      <c r="W4" s="173"/>
      <c r="X4" s="173"/>
      <c r="Y4" s="173"/>
      <c r="Z4" s="173"/>
    </row>
    <row r="5" spans="2:26" ht="17.25" customHeight="1" x14ac:dyDescent="0.4">
      <c r="B5" s="64" t="s">
        <v>94</v>
      </c>
      <c r="C5" s="71" t="str">
        <f>IF(Q5=2,"S", "")</f>
        <v/>
      </c>
      <c r="D5" s="66">
        <v>1</v>
      </c>
      <c r="E5" s="36" t="str">
        <f>IF(T5=2, "S", "")</f>
        <v/>
      </c>
      <c r="F5" s="65" t="s">
        <v>95</v>
      </c>
      <c r="G5" s="64" t="s">
        <v>140</v>
      </c>
      <c r="H5" s="36" t="str">
        <f>IF(W5=2, "S", "")</f>
        <v/>
      </c>
      <c r="I5" s="66">
        <v>26</v>
      </c>
      <c r="J5" s="36" t="str">
        <f>IF(Z5=2, "S", "")</f>
        <v/>
      </c>
      <c r="K5" s="65" t="s">
        <v>141</v>
      </c>
      <c r="O5" s="35">
        <f>'50 Categorias Homem'!C5</f>
        <v>0</v>
      </c>
      <c r="P5" s="35">
        <f>'50 Categorias Mulher'!C5</f>
        <v>0</v>
      </c>
      <c r="Q5" s="35">
        <f>COUNTIF(O5:P5,"X")</f>
        <v>0</v>
      </c>
      <c r="R5" s="35" t="str">
        <f>'50 Categorias Homem'!E5</f>
        <v>x</v>
      </c>
      <c r="S5" s="35">
        <f>'50 Categorias Mulher'!E5</f>
        <v>0</v>
      </c>
      <c r="T5" s="35">
        <f>COUNTIF(R5:S5, "x")</f>
        <v>1</v>
      </c>
      <c r="U5" s="35">
        <f>'50 Categorias Homem'!H5</f>
        <v>0</v>
      </c>
      <c r="V5" s="35">
        <f>'50 Categorias Mulher'!H5</f>
        <v>0</v>
      </c>
      <c r="W5" s="35">
        <f>COUNTIF(U5:V5, "x")</f>
        <v>0</v>
      </c>
      <c r="X5" s="35">
        <f>'50 Categorias Homem'!J5</f>
        <v>0</v>
      </c>
      <c r="Y5" s="35">
        <f>'50 Categorias Mulher'!J5</f>
        <v>0</v>
      </c>
      <c r="Z5" s="35">
        <f>COUNTIF(X5:Y5, "x")</f>
        <v>0</v>
      </c>
    </row>
    <row r="6" spans="2:26" ht="17.25" customHeight="1" x14ac:dyDescent="0.4">
      <c r="B6" s="64" t="s">
        <v>96</v>
      </c>
      <c r="C6" s="71" t="str">
        <f t="shared" ref="C6:C29" si="0">IF(Q6=2,"S", "")</f>
        <v/>
      </c>
      <c r="D6" s="66">
        <v>2</v>
      </c>
      <c r="E6" s="36" t="str">
        <f t="shared" ref="E6:E29" si="1">IF(T6=2, "S", "")</f>
        <v/>
      </c>
      <c r="F6" s="65" t="s">
        <v>97</v>
      </c>
      <c r="G6" s="64" t="s">
        <v>142</v>
      </c>
      <c r="H6" s="36" t="str">
        <f t="shared" ref="H6:H29" si="2">IF(W6=2, "S", "")</f>
        <v/>
      </c>
      <c r="I6" s="66">
        <v>27</v>
      </c>
      <c r="J6" s="36" t="str">
        <f t="shared" ref="J6:J29" si="3">IF(Z6=2, "S", "")</f>
        <v/>
      </c>
      <c r="K6" s="65" t="s">
        <v>143</v>
      </c>
      <c r="O6" s="35" t="str">
        <f>'50 Categorias Homem'!C6</f>
        <v>x</v>
      </c>
      <c r="P6" s="35">
        <f>'50 Categorias Mulher'!C6</f>
        <v>0</v>
      </c>
      <c r="Q6" s="35">
        <f t="shared" ref="Q6:Q29" si="4">COUNTIF(O6:P6,"X")</f>
        <v>1</v>
      </c>
      <c r="R6" s="35">
        <f>'50 Categorias Homem'!E6</f>
        <v>0</v>
      </c>
      <c r="S6" s="35">
        <f>'50 Categorias Mulher'!E6</f>
        <v>0</v>
      </c>
      <c r="T6" s="35">
        <f t="shared" ref="T6:T29" si="5">COUNTIF(R6:S6, "x")</f>
        <v>0</v>
      </c>
      <c r="U6" s="35">
        <f>'50 Categorias Homem'!H6</f>
        <v>0</v>
      </c>
      <c r="V6" s="35">
        <f>'50 Categorias Mulher'!H6</f>
        <v>0</v>
      </c>
      <c r="W6" s="35">
        <f t="shared" ref="W6:W29" si="6">COUNTIF(U6:V6, "x")</f>
        <v>0</v>
      </c>
      <c r="X6" s="35">
        <f>'50 Categorias Homem'!J6</f>
        <v>0</v>
      </c>
      <c r="Y6" s="35">
        <f>'50 Categorias Mulher'!J6</f>
        <v>0</v>
      </c>
      <c r="Z6" s="35">
        <f t="shared" ref="Z6:Z29" si="7">COUNTIF(X6:Y6, "x")</f>
        <v>0</v>
      </c>
    </row>
    <row r="7" spans="2:26" ht="17.25" customHeight="1" x14ac:dyDescent="0.4">
      <c r="B7" s="64" t="s">
        <v>98</v>
      </c>
      <c r="C7" s="71" t="str">
        <f t="shared" si="0"/>
        <v/>
      </c>
      <c r="D7" s="66">
        <v>3</v>
      </c>
      <c r="E7" s="36" t="str">
        <f t="shared" si="1"/>
        <v/>
      </c>
      <c r="F7" s="65" t="s">
        <v>187</v>
      </c>
      <c r="G7" s="64" t="s">
        <v>144</v>
      </c>
      <c r="H7" s="36" t="str">
        <f t="shared" si="2"/>
        <v/>
      </c>
      <c r="I7" s="66">
        <v>28</v>
      </c>
      <c r="J7" s="36" t="str">
        <f t="shared" si="3"/>
        <v/>
      </c>
      <c r="K7" s="65" t="s">
        <v>145</v>
      </c>
      <c r="O7" s="35" t="str">
        <f>'50 Categorias Homem'!C7</f>
        <v>x</v>
      </c>
      <c r="P7" s="35">
        <f>'50 Categorias Mulher'!C7</f>
        <v>0</v>
      </c>
      <c r="Q7" s="35">
        <f t="shared" si="4"/>
        <v>1</v>
      </c>
      <c r="R7" s="35">
        <f>'50 Categorias Homem'!E7</f>
        <v>0</v>
      </c>
      <c r="S7" s="35">
        <f>'50 Categorias Mulher'!E7</f>
        <v>0</v>
      </c>
      <c r="T7" s="35">
        <f t="shared" si="5"/>
        <v>0</v>
      </c>
      <c r="U7" s="35">
        <f>'50 Categorias Homem'!H7</f>
        <v>0</v>
      </c>
      <c r="V7" s="35">
        <f>'50 Categorias Mulher'!H7</f>
        <v>0</v>
      </c>
      <c r="W7" s="35">
        <f t="shared" si="6"/>
        <v>0</v>
      </c>
      <c r="X7" s="35">
        <f>'50 Categorias Homem'!J7</f>
        <v>0</v>
      </c>
      <c r="Y7" s="35">
        <f>'50 Categorias Mulher'!J7</f>
        <v>0</v>
      </c>
      <c r="Z7" s="35">
        <f t="shared" si="7"/>
        <v>0</v>
      </c>
    </row>
    <row r="8" spans="2:26" ht="17.25" customHeight="1" x14ac:dyDescent="0.4">
      <c r="B8" s="64" t="s">
        <v>188</v>
      </c>
      <c r="C8" s="71" t="str">
        <f t="shared" si="0"/>
        <v/>
      </c>
      <c r="D8" s="66">
        <v>4</v>
      </c>
      <c r="E8" s="36" t="str">
        <f t="shared" si="1"/>
        <v/>
      </c>
      <c r="F8" s="65" t="s">
        <v>99</v>
      </c>
      <c r="G8" s="64" t="s">
        <v>146</v>
      </c>
      <c r="H8" s="36" t="str">
        <f t="shared" si="2"/>
        <v/>
      </c>
      <c r="I8" s="66">
        <v>29</v>
      </c>
      <c r="J8" s="36" t="str">
        <f t="shared" si="3"/>
        <v/>
      </c>
      <c r="K8" s="65" t="s">
        <v>147</v>
      </c>
      <c r="O8" s="35" t="str">
        <f>'50 Categorias Homem'!C8</f>
        <v>x</v>
      </c>
      <c r="P8" s="35">
        <f>'50 Categorias Mulher'!C8</f>
        <v>0</v>
      </c>
      <c r="Q8" s="35">
        <f t="shared" si="4"/>
        <v>1</v>
      </c>
      <c r="R8" s="35">
        <f>'50 Categorias Homem'!E8</f>
        <v>0</v>
      </c>
      <c r="S8" s="35">
        <f>'50 Categorias Mulher'!E8</f>
        <v>0</v>
      </c>
      <c r="T8" s="35">
        <f t="shared" si="5"/>
        <v>0</v>
      </c>
      <c r="U8" s="35">
        <f>'50 Categorias Homem'!H8</f>
        <v>0</v>
      </c>
      <c r="V8" s="35">
        <f>'50 Categorias Mulher'!H8</f>
        <v>0</v>
      </c>
      <c r="W8" s="35">
        <f t="shared" si="6"/>
        <v>0</v>
      </c>
      <c r="X8" s="35">
        <f>'50 Categorias Homem'!J8</f>
        <v>0</v>
      </c>
      <c r="Y8" s="35">
        <f>'50 Categorias Mulher'!J8</f>
        <v>0</v>
      </c>
      <c r="Z8" s="35">
        <f t="shared" si="7"/>
        <v>0</v>
      </c>
    </row>
    <row r="9" spans="2:26" ht="17.25" customHeight="1" x14ac:dyDescent="0.4">
      <c r="B9" s="64" t="s">
        <v>100</v>
      </c>
      <c r="C9" s="71" t="str">
        <f t="shared" si="0"/>
        <v/>
      </c>
      <c r="D9" s="66">
        <v>5</v>
      </c>
      <c r="E9" s="36" t="str">
        <f t="shared" si="1"/>
        <v/>
      </c>
      <c r="F9" s="65" t="s">
        <v>101</v>
      </c>
      <c r="G9" s="64" t="s">
        <v>191</v>
      </c>
      <c r="H9" s="36" t="str">
        <f t="shared" si="2"/>
        <v/>
      </c>
      <c r="I9" s="66">
        <v>30</v>
      </c>
      <c r="J9" s="36" t="str">
        <f t="shared" si="3"/>
        <v/>
      </c>
      <c r="K9" s="65" t="s">
        <v>192</v>
      </c>
      <c r="O9" s="35" t="str">
        <f>'50 Categorias Homem'!C9</f>
        <v>x</v>
      </c>
      <c r="P9" s="35">
        <f>'50 Categorias Mulher'!C9</f>
        <v>0</v>
      </c>
      <c r="Q9" s="35">
        <f t="shared" si="4"/>
        <v>1</v>
      </c>
      <c r="R9" s="35">
        <f>'50 Categorias Homem'!E9</f>
        <v>0</v>
      </c>
      <c r="S9" s="35">
        <f>'50 Categorias Mulher'!E9</f>
        <v>0</v>
      </c>
      <c r="T9" s="35">
        <f t="shared" si="5"/>
        <v>0</v>
      </c>
      <c r="U9" s="35">
        <f>'50 Categorias Homem'!H9</f>
        <v>0</v>
      </c>
      <c r="V9" s="35">
        <f>'50 Categorias Mulher'!H9</f>
        <v>0</v>
      </c>
      <c r="W9" s="35">
        <f t="shared" si="6"/>
        <v>0</v>
      </c>
      <c r="X9" s="35">
        <f>'50 Categorias Homem'!J9</f>
        <v>0</v>
      </c>
      <c r="Y9" s="35">
        <f>'50 Categorias Mulher'!J9</f>
        <v>0</v>
      </c>
      <c r="Z9" s="35">
        <f t="shared" si="7"/>
        <v>0</v>
      </c>
    </row>
    <row r="10" spans="2:26" ht="17.25" customHeight="1" x14ac:dyDescent="0.4">
      <c r="B10" s="64" t="s">
        <v>102</v>
      </c>
      <c r="C10" s="71" t="str">
        <f t="shared" si="0"/>
        <v/>
      </c>
      <c r="D10" s="66">
        <v>6</v>
      </c>
      <c r="E10" s="36" t="str">
        <f t="shared" si="1"/>
        <v/>
      </c>
      <c r="F10" s="65" t="s">
        <v>103</v>
      </c>
      <c r="G10" s="64" t="s">
        <v>148</v>
      </c>
      <c r="H10" s="36" t="str">
        <f t="shared" si="2"/>
        <v/>
      </c>
      <c r="I10" s="66">
        <v>31</v>
      </c>
      <c r="J10" s="36" t="str">
        <f t="shared" si="3"/>
        <v/>
      </c>
      <c r="K10" s="65" t="s">
        <v>149</v>
      </c>
      <c r="O10" s="35" t="str">
        <f>'50 Categorias Homem'!C10</f>
        <v>x</v>
      </c>
      <c r="P10" s="35">
        <f>'50 Categorias Mulher'!C10</f>
        <v>0</v>
      </c>
      <c r="Q10" s="35">
        <f t="shared" si="4"/>
        <v>1</v>
      </c>
      <c r="R10" s="35">
        <f>'50 Categorias Homem'!E10</f>
        <v>0</v>
      </c>
      <c r="S10" s="35">
        <f>'50 Categorias Mulher'!E10</f>
        <v>0</v>
      </c>
      <c r="T10" s="35">
        <f t="shared" si="5"/>
        <v>0</v>
      </c>
      <c r="U10" s="35">
        <f>'50 Categorias Homem'!H10</f>
        <v>0</v>
      </c>
      <c r="V10" s="35">
        <f>'50 Categorias Mulher'!H10</f>
        <v>0</v>
      </c>
      <c r="W10" s="35">
        <f t="shared" si="6"/>
        <v>0</v>
      </c>
      <c r="X10" s="35">
        <f>'50 Categorias Homem'!J10</f>
        <v>0</v>
      </c>
      <c r="Y10" s="35">
        <f>'50 Categorias Mulher'!J10</f>
        <v>0</v>
      </c>
      <c r="Z10" s="35">
        <f t="shared" si="7"/>
        <v>0</v>
      </c>
    </row>
    <row r="11" spans="2:26" ht="17.25" customHeight="1" x14ac:dyDescent="0.4">
      <c r="B11" s="64" t="s">
        <v>104</v>
      </c>
      <c r="C11" s="71" t="str">
        <f t="shared" si="0"/>
        <v/>
      </c>
      <c r="D11" s="66">
        <v>7</v>
      </c>
      <c r="E11" s="36" t="str">
        <f t="shared" si="1"/>
        <v/>
      </c>
      <c r="F11" s="65" t="s">
        <v>189</v>
      </c>
      <c r="G11" s="64" t="s">
        <v>150</v>
      </c>
      <c r="H11" s="36" t="str">
        <f t="shared" si="2"/>
        <v/>
      </c>
      <c r="I11" s="66">
        <v>32</v>
      </c>
      <c r="J11" s="36" t="str">
        <f t="shared" si="3"/>
        <v/>
      </c>
      <c r="K11" s="65" t="s">
        <v>151</v>
      </c>
      <c r="O11" s="35" t="str">
        <f>'50 Categorias Homem'!C11</f>
        <v>x</v>
      </c>
      <c r="P11" s="35">
        <f>'50 Categorias Mulher'!C11</f>
        <v>0</v>
      </c>
      <c r="Q11" s="35">
        <f t="shared" si="4"/>
        <v>1</v>
      </c>
      <c r="R11" s="35">
        <f>'50 Categorias Homem'!E11</f>
        <v>0</v>
      </c>
      <c r="S11" s="35">
        <f>'50 Categorias Mulher'!E11</f>
        <v>0</v>
      </c>
      <c r="T11" s="35">
        <f t="shared" si="5"/>
        <v>0</v>
      </c>
      <c r="U11" s="35">
        <f>'50 Categorias Homem'!H11</f>
        <v>0</v>
      </c>
      <c r="V11" s="35">
        <f>'50 Categorias Mulher'!H11</f>
        <v>0</v>
      </c>
      <c r="W11" s="35">
        <f t="shared" si="6"/>
        <v>0</v>
      </c>
      <c r="X11" s="35">
        <f>'50 Categorias Homem'!J11</f>
        <v>0</v>
      </c>
      <c r="Y11" s="35">
        <f>'50 Categorias Mulher'!J11</f>
        <v>0</v>
      </c>
      <c r="Z11" s="35">
        <f t="shared" si="7"/>
        <v>0</v>
      </c>
    </row>
    <row r="12" spans="2:26" ht="17.25" customHeight="1" x14ac:dyDescent="0.4">
      <c r="B12" s="64" t="s">
        <v>105</v>
      </c>
      <c r="C12" s="71" t="str">
        <f t="shared" si="0"/>
        <v/>
      </c>
      <c r="D12" s="66">
        <v>8</v>
      </c>
      <c r="E12" s="36" t="str">
        <f t="shared" si="1"/>
        <v/>
      </c>
      <c r="F12" s="65" t="s">
        <v>106</v>
      </c>
      <c r="G12" s="64" t="s">
        <v>152</v>
      </c>
      <c r="H12" s="36" t="str">
        <f t="shared" si="2"/>
        <v/>
      </c>
      <c r="I12" s="66">
        <v>33</v>
      </c>
      <c r="J12" s="36" t="str">
        <f t="shared" si="3"/>
        <v/>
      </c>
      <c r="K12" s="65" t="s">
        <v>153</v>
      </c>
      <c r="O12" s="35" t="str">
        <f>'50 Categorias Homem'!C12</f>
        <v>x</v>
      </c>
      <c r="P12" s="35">
        <f>'50 Categorias Mulher'!C12</f>
        <v>0</v>
      </c>
      <c r="Q12" s="35">
        <f t="shared" si="4"/>
        <v>1</v>
      </c>
      <c r="R12" s="35">
        <f>'50 Categorias Homem'!E12</f>
        <v>0</v>
      </c>
      <c r="S12" s="35">
        <f>'50 Categorias Mulher'!E12</f>
        <v>0</v>
      </c>
      <c r="T12" s="35">
        <f t="shared" si="5"/>
        <v>0</v>
      </c>
      <c r="U12" s="35">
        <f>'50 Categorias Homem'!H12</f>
        <v>0</v>
      </c>
      <c r="V12" s="35">
        <f>'50 Categorias Mulher'!H12</f>
        <v>0</v>
      </c>
      <c r="W12" s="35">
        <f t="shared" si="6"/>
        <v>0</v>
      </c>
      <c r="X12" s="35">
        <f>'50 Categorias Homem'!J12</f>
        <v>0</v>
      </c>
      <c r="Y12" s="35">
        <f>'50 Categorias Mulher'!J12</f>
        <v>0</v>
      </c>
      <c r="Z12" s="35">
        <f t="shared" si="7"/>
        <v>0</v>
      </c>
    </row>
    <row r="13" spans="2:26" ht="17.25" customHeight="1" x14ac:dyDescent="0.4">
      <c r="B13" s="64" t="s">
        <v>107</v>
      </c>
      <c r="C13" s="71" t="str">
        <f t="shared" si="0"/>
        <v/>
      </c>
      <c r="D13" s="66">
        <v>9</v>
      </c>
      <c r="E13" s="36" t="str">
        <f t="shared" si="1"/>
        <v/>
      </c>
      <c r="F13" s="65" t="s">
        <v>108</v>
      </c>
      <c r="G13" s="64" t="s">
        <v>154</v>
      </c>
      <c r="H13" s="36" t="str">
        <f t="shared" si="2"/>
        <v/>
      </c>
      <c r="I13" s="66">
        <v>34</v>
      </c>
      <c r="J13" s="36" t="str">
        <f t="shared" si="3"/>
        <v/>
      </c>
      <c r="K13" s="65" t="s">
        <v>155</v>
      </c>
      <c r="O13" s="35">
        <f>'50 Categorias Homem'!C13</f>
        <v>0</v>
      </c>
      <c r="P13" s="35">
        <f>'50 Categorias Mulher'!C13</f>
        <v>0</v>
      </c>
      <c r="Q13" s="35">
        <f t="shared" si="4"/>
        <v>0</v>
      </c>
      <c r="R13" s="35">
        <f>'50 Categorias Homem'!E13</f>
        <v>0</v>
      </c>
      <c r="S13" s="35">
        <f>'50 Categorias Mulher'!E13</f>
        <v>0</v>
      </c>
      <c r="T13" s="35">
        <f t="shared" si="5"/>
        <v>0</v>
      </c>
      <c r="U13" s="35">
        <f>'50 Categorias Homem'!H13</f>
        <v>0</v>
      </c>
      <c r="V13" s="35">
        <f>'50 Categorias Mulher'!H13</f>
        <v>0</v>
      </c>
      <c r="W13" s="35">
        <f t="shared" si="6"/>
        <v>0</v>
      </c>
      <c r="X13" s="35">
        <f>'50 Categorias Homem'!J13</f>
        <v>0</v>
      </c>
      <c r="Y13" s="35">
        <f>'50 Categorias Mulher'!J13</f>
        <v>0</v>
      </c>
      <c r="Z13" s="35">
        <f t="shared" si="7"/>
        <v>0</v>
      </c>
    </row>
    <row r="14" spans="2:26" ht="17.25" customHeight="1" x14ac:dyDescent="0.4">
      <c r="B14" s="64" t="s">
        <v>109</v>
      </c>
      <c r="C14" s="71" t="str">
        <f t="shared" si="0"/>
        <v/>
      </c>
      <c r="D14" s="66">
        <v>10</v>
      </c>
      <c r="E14" s="36" t="str">
        <f t="shared" si="1"/>
        <v/>
      </c>
      <c r="F14" s="65" t="s">
        <v>110</v>
      </c>
      <c r="G14" s="64" t="s">
        <v>156</v>
      </c>
      <c r="H14" s="36" t="str">
        <f t="shared" si="2"/>
        <v/>
      </c>
      <c r="I14" s="66">
        <v>35</v>
      </c>
      <c r="J14" s="36" t="str">
        <f t="shared" si="3"/>
        <v/>
      </c>
      <c r="K14" s="65" t="s">
        <v>157</v>
      </c>
      <c r="O14" s="35">
        <f>'50 Categorias Homem'!C14</f>
        <v>0</v>
      </c>
      <c r="P14" s="35">
        <f>'50 Categorias Mulher'!C14</f>
        <v>0</v>
      </c>
      <c r="Q14" s="35">
        <f t="shared" si="4"/>
        <v>0</v>
      </c>
      <c r="R14" s="35">
        <f>'50 Categorias Homem'!E14</f>
        <v>0</v>
      </c>
      <c r="S14" s="35">
        <f>'50 Categorias Mulher'!E14</f>
        <v>0</v>
      </c>
      <c r="T14" s="35">
        <f t="shared" si="5"/>
        <v>0</v>
      </c>
      <c r="U14" s="35">
        <f>'50 Categorias Homem'!H14</f>
        <v>0</v>
      </c>
      <c r="V14" s="35">
        <f>'50 Categorias Mulher'!H14</f>
        <v>0</v>
      </c>
      <c r="W14" s="35">
        <f t="shared" si="6"/>
        <v>0</v>
      </c>
      <c r="X14" s="35" t="str">
        <f>'50 Categorias Homem'!J14</f>
        <v>x</v>
      </c>
      <c r="Y14" s="35">
        <f>'50 Categorias Mulher'!J14</f>
        <v>0</v>
      </c>
      <c r="Z14" s="35">
        <f t="shared" si="7"/>
        <v>1</v>
      </c>
    </row>
    <row r="15" spans="2:26" ht="17.25" customHeight="1" x14ac:dyDescent="0.4">
      <c r="B15" s="64" t="s">
        <v>111</v>
      </c>
      <c r="C15" s="71" t="str">
        <f t="shared" si="0"/>
        <v/>
      </c>
      <c r="D15" s="66">
        <v>11</v>
      </c>
      <c r="E15" s="36" t="str">
        <f t="shared" si="1"/>
        <v/>
      </c>
      <c r="F15" s="65" t="s">
        <v>112</v>
      </c>
      <c r="G15" s="64" t="s">
        <v>158</v>
      </c>
      <c r="H15" s="36" t="str">
        <f t="shared" si="2"/>
        <v/>
      </c>
      <c r="I15" s="66">
        <v>36</v>
      </c>
      <c r="J15" s="36" t="str">
        <f t="shared" si="3"/>
        <v/>
      </c>
      <c r="K15" s="65" t="s">
        <v>193</v>
      </c>
      <c r="O15" s="35">
        <f>'50 Categorias Homem'!C15</f>
        <v>0</v>
      </c>
      <c r="P15" s="35">
        <f>'50 Categorias Mulher'!C15</f>
        <v>0</v>
      </c>
      <c r="Q15" s="35">
        <f t="shared" si="4"/>
        <v>0</v>
      </c>
      <c r="R15" s="35">
        <f>'50 Categorias Homem'!E15</f>
        <v>0</v>
      </c>
      <c r="S15" s="35">
        <f>'50 Categorias Mulher'!E15</f>
        <v>0</v>
      </c>
      <c r="T15" s="35">
        <f t="shared" si="5"/>
        <v>0</v>
      </c>
      <c r="U15" s="35">
        <f>'50 Categorias Homem'!H15</f>
        <v>0</v>
      </c>
      <c r="V15" s="35">
        <f>'50 Categorias Mulher'!H15</f>
        <v>0</v>
      </c>
      <c r="W15" s="35">
        <f t="shared" si="6"/>
        <v>0</v>
      </c>
      <c r="X15" s="35" t="str">
        <f>'50 Categorias Homem'!J15</f>
        <v>x</v>
      </c>
      <c r="Y15" s="35">
        <f>'50 Categorias Mulher'!J15</f>
        <v>0</v>
      </c>
      <c r="Z15" s="35">
        <f t="shared" si="7"/>
        <v>1</v>
      </c>
    </row>
    <row r="16" spans="2:26" ht="17.25" customHeight="1" x14ac:dyDescent="0.4">
      <c r="B16" s="64" t="s">
        <v>113</v>
      </c>
      <c r="C16" s="71" t="str">
        <f t="shared" si="0"/>
        <v/>
      </c>
      <c r="D16" s="66">
        <v>12</v>
      </c>
      <c r="E16" s="36" t="str">
        <f t="shared" si="1"/>
        <v/>
      </c>
      <c r="F16" s="65" t="s">
        <v>114</v>
      </c>
      <c r="G16" s="64" t="s">
        <v>159</v>
      </c>
      <c r="H16" s="36" t="str">
        <f t="shared" si="2"/>
        <v/>
      </c>
      <c r="I16" s="66">
        <v>37</v>
      </c>
      <c r="J16" s="36" t="str">
        <f t="shared" si="3"/>
        <v/>
      </c>
      <c r="K16" s="65" t="s">
        <v>160</v>
      </c>
      <c r="O16" s="35" t="str">
        <f>'50 Categorias Homem'!C16</f>
        <v>x</v>
      </c>
      <c r="P16" s="35">
        <f>'50 Categorias Mulher'!C16</f>
        <v>0</v>
      </c>
      <c r="Q16" s="35">
        <f t="shared" si="4"/>
        <v>1</v>
      </c>
      <c r="R16" s="35">
        <f>'50 Categorias Homem'!E16</f>
        <v>0</v>
      </c>
      <c r="S16" s="35">
        <f>'50 Categorias Mulher'!E16</f>
        <v>0</v>
      </c>
      <c r="T16" s="35">
        <f t="shared" si="5"/>
        <v>0</v>
      </c>
      <c r="U16" s="35">
        <f>'50 Categorias Homem'!H16</f>
        <v>0</v>
      </c>
      <c r="V16" s="35">
        <f>'50 Categorias Mulher'!H16</f>
        <v>0</v>
      </c>
      <c r="W16" s="35">
        <f t="shared" si="6"/>
        <v>0</v>
      </c>
      <c r="X16" s="35" t="str">
        <f>'50 Categorias Homem'!J16</f>
        <v>x</v>
      </c>
      <c r="Y16" s="35">
        <f>'50 Categorias Mulher'!J16</f>
        <v>0</v>
      </c>
      <c r="Z16" s="35">
        <f t="shared" si="7"/>
        <v>1</v>
      </c>
    </row>
    <row r="17" spans="2:26" ht="17.25" customHeight="1" x14ac:dyDescent="0.4">
      <c r="B17" s="64" t="s">
        <v>115</v>
      </c>
      <c r="C17" s="71" t="str">
        <f t="shared" si="0"/>
        <v/>
      </c>
      <c r="D17" s="66">
        <v>13</v>
      </c>
      <c r="E17" s="36" t="str">
        <f t="shared" si="1"/>
        <v/>
      </c>
      <c r="F17" s="65" t="s">
        <v>117</v>
      </c>
      <c r="G17" s="64" t="s">
        <v>161</v>
      </c>
      <c r="H17" s="36" t="str">
        <f t="shared" si="2"/>
        <v/>
      </c>
      <c r="I17" s="66">
        <v>38</v>
      </c>
      <c r="J17" s="36" t="str">
        <f t="shared" si="3"/>
        <v/>
      </c>
      <c r="K17" s="65" t="s">
        <v>162</v>
      </c>
      <c r="O17" s="35">
        <f>'50 Categorias Homem'!C17</f>
        <v>0</v>
      </c>
      <c r="P17" s="35">
        <f>'50 Categorias Mulher'!C17</f>
        <v>0</v>
      </c>
      <c r="Q17" s="35">
        <f t="shared" si="4"/>
        <v>0</v>
      </c>
      <c r="R17" s="35">
        <f>'50 Categorias Homem'!E17</f>
        <v>0</v>
      </c>
      <c r="S17" s="35">
        <f>'50 Categorias Mulher'!E17</f>
        <v>0</v>
      </c>
      <c r="T17" s="35">
        <f t="shared" si="5"/>
        <v>0</v>
      </c>
      <c r="U17" s="35" t="str">
        <f>'50 Categorias Homem'!H17</f>
        <v>x</v>
      </c>
      <c r="V17" s="35">
        <f>'50 Categorias Mulher'!H17</f>
        <v>0</v>
      </c>
      <c r="W17" s="35">
        <f t="shared" si="6"/>
        <v>1</v>
      </c>
      <c r="X17" s="35">
        <f>'50 Categorias Homem'!J17</f>
        <v>0</v>
      </c>
      <c r="Y17" s="35">
        <f>'50 Categorias Mulher'!J17</f>
        <v>0</v>
      </c>
      <c r="Z17" s="35">
        <f t="shared" si="7"/>
        <v>0</v>
      </c>
    </row>
    <row r="18" spans="2:26" ht="17.25" customHeight="1" x14ac:dyDescent="0.4">
      <c r="B18" s="64" t="s">
        <v>190</v>
      </c>
      <c r="C18" s="71" t="str">
        <f t="shared" si="0"/>
        <v/>
      </c>
      <c r="D18" s="66">
        <v>14</v>
      </c>
      <c r="E18" s="36" t="str">
        <f t="shared" si="1"/>
        <v/>
      </c>
      <c r="F18" s="65" t="s">
        <v>116</v>
      </c>
      <c r="G18" s="64" t="s">
        <v>163</v>
      </c>
      <c r="H18" s="36" t="str">
        <f t="shared" si="2"/>
        <v/>
      </c>
      <c r="I18" s="66">
        <v>39</v>
      </c>
      <c r="J18" s="36" t="str">
        <f t="shared" si="3"/>
        <v/>
      </c>
      <c r="K18" s="65" t="s">
        <v>164</v>
      </c>
      <c r="O18" s="35">
        <f>'50 Categorias Homem'!C18</f>
        <v>0</v>
      </c>
      <c r="P18" s="35">
        <f>'50 Categorias Mulher'!C18</f>
        <v>0</v>
      </c>
      <c r="Q18" s="35">
        <f t="shared" si="4"/>
        <v>0</v>
      </c>
      <c r="R18" s="35">
        <f>'50 Categorias Homem'!E18</f>
        <v>0</v>
      </c>
      <c r="S18" s="35">
        <f>'50 Categorias Mulher'!E18</f>
        <v>0</v>
      </c>
      <c r="T18" s="35">
        <f t="shared" si="5"/>
        <v>0</v>
      </c>
      <c r="U18" s="35" t="str">
        <f>'50 Categorias Homem'!H18</f>
        <v>x</v>
      </c>
      <c r="V18" s="35">
        <f>'50 Categorias Mulher'!H18</f>
        <v>0</v>
      </c>
      <c r="W18" s="35">
        <f t="shared" si="6"/>
        <v>1</v>
      </c>
      <c r="X18" s="35">
        <f>'50 Categorias Homem'!J18</f>
        <v>0</v>
      </c>
      <c r="Y18" s="35">
        <f>'50 Categorias Mulher'!J18</f>
        <v>0</v>
      </c>
      <c r="Z18" s="35">
        <f t="shared" si="7"/>
        <v>0</v>
      </c>
    </row>
    <row r="19" spans="2:26" ht="17.25" customHeight="1" x14ac:dyDescent="0.4">
      <c r="B19" s="64" t="s">
        <v>118</v>
      </c>
      <c r="C19" s="71" t="str">
        <f t="shared" si="0"/>
        <v/>
      </c>
      <c r="D19" s="66">
        <v>15</v>
      </c>
      <c r="E19" s="36" t="str">
        <f t="shared" si="1"/>
        <v/>
      </c>
      <c r="F19" s="65" t="s">
        <v>119</v>
      </c>
      <c r="G19" s="64" t="s">
        <v>165</v>
      </c>
      <c r="H19" s="36" t="str">
        <f t="shared" si="2"/>
        <v/>
      </c>
      <c r="I19" s="66">
        <v>40</v>
      </c>
      <c r="J19" s="36" t="str">
        <f t="shared" si="3"/>
        <v/>
      </c>
      <c r="K19" s="65" t="s">
        <v>166</v>
      </c>
      <c r="O19" s="35">
        <f>'50 Categorias Homem'!C19</f>
        <v>0</v>
      </c>
      <c r="P19" s="35">
        <f>'50 Categorias Mulher'!C19</f>
        <v>0</v>
      </c>
      <c r="Q19" s="35">
        <f t="shared" si="4"/>
        <v>0</v>
      </c>
      <c r="R19" s="35">
        <f>'50 Categorias Homem'!E19</f>
        <v>0</v>
      </c>
      <c r="S19" s="35">
        <f>'50 Categorias Mulher'!E19</f>
        <v>0</v>
      </c>
      <c r="T19" s="35">
        <f t="shared" si="5"/>
        <v>0</v>
      </c>
      <c r="U19" s="35" t="str">
        <f>'50 Categorias Homem'!H19</f>
        <v>x</v>
      </c>
      <c r="V19" s="35">
        <f>'50 Categorias Mulher'!H19</f>
        <v>0</v>
      </c>
      <c r="W19" s="35">
        <f t="shared" si="6"/>
        <v>1</v>
      </c>
      <c r="X19" s="35">
        <f>'50 Categorias Homem'!J19</f>
        <v>0</v>
      </c>
      <c r="Y19" s="35">
        <f>'50 Categorias Mulher'!J19</f>
        <v>0</v>
      </c>
      <c r="Z19" s="35">
        <f t="shared" si="7"/>
        <v>0</v>
      </c>
    </row>
    <row r="20" spans="2:26" ht="17.25" customHeight="1" x14ac:dyDescent="0.4">
      <c r="B20" s="64" t="s">
        <v>120</v>
      </c>
      <c r="C20" s="71" t="str">
        <f t="shared" si="0"/>
        <v/>
      </c>
      <c r="D20" s="66">
        <v>16</v>
      </c>
      <c r="E20" s="36" t="str">
        <f t="shared" si="1"/>
        <v/>
      </c>
      <c r="F20" s="65" t="s">
        <v>121</v>
      </c>
      <c r="G20" s="64" t="s">
        <v>167</v>
      </c>
      <c r="H20" s="36" t="str">
        <f t="shared" si="2"/>
        <v/>
      </c>
      <c r="I20" s="66">
        <v>41</v>
      </c>
      <c r="J20" s="36" t="str">
        <f t="shared" si="3"/>
        <v/>
      </c>
      <c r="K20" s="65" t="s">
        <v>168</v>
      </c>
      <c r="O20" s="35">
        <f>'50 Categorias Homem'!C20</f>
        <v>0</v>
      </c>
      <c r="P20" s="35">
        <f>'50 Categorias Mulher'!C20</f>
        <v>0</v>
      </c>
      <c r="Q20" s="35">
        <f t="shared" si="4"/>
        <v>0</v>
      </c>
      <c r="R20" s="35">
        <f>'50 Categorias Homem'!E20</f>
        <v>0</v>
      </c>
      <c r="S20" s="35">
        <f>'50 Categorias Mulher'!E20</f>
        <v>0</v>
      </c>
      <c r="T20" s="35">
        <f t="shared" si="5"/>
        <v>0</v>
      </c>
      <c r="U20" s="35">
        <f>'50 Categorias Homem'!H20</f>
        <v>0</v>
      </c>
      <c r="V20" s="35">
        <f>'50 Categorias Mulher'!H20</f>
        <v>0</v>
      </c>
      <c r="W20" s="35">
        <f t="shared" si="6"/>
        <v>0</v>
      </c>
      <c r="X20" s="35">
        <f>'50 Categorias Homem'!J20</f>
        <v>0</v>
      </c>
      <c r="Y20" s="35">
        <f>'50 Categorias Mulher'!J20</f>
        <v>0</v>
      </c>
      <c r="Z20" s="35">
        <f t="shared" si="7"/>
        <v>0</v>
      </c>
    </row>
    <row r="21" spans="2:26" ht="17.25" customHeight="1" x14ac:dyDescent="0.4">
      <c r="B21" s="64" t="s">
        <v>122</v>
      </c>
      <c r="C21" s="71" t="str">
        <f t="shared" si="0"/>
        <v/>
      </c>
      <c r="D21" s="66">
        <v>17</v>
      </c>
      <c r="E21" s="36" t="str">
        <f t="shared" si="1"/>
        <v/>
      </c>
      <c r="F21" s="65" t="s">
        <v>123</v>
      </c>
      <c r="G21" s="64" t="s">
        <v>169</v>
      </c>
      <c r="H21" s="36" t="str">
        <f t="shared" si="2"/>
        <v/>
      </c>
      <c r="I21" s="66">
        <v>42</v>
      </c>
      <c r="J21" s="36" t="str">
        <f t="shared" si="3"/>
        <v/>
      </c>
      <c r="K21" s="65" t="s">
        <v>170</v>
      </c>
      <c r="O21" s="35">
        <f>'50 Categorias Homem'!C21</f>
        <v>0</v>
      </c>
      <c r="P21" s="35">
        <f>'50 Categorias Mulher'!C21</f>
        <v>0</v>
      </c>
      <c r="Q21" s="35">
        <f t="shared" si="4"/>
        <v>0</v>
      </c>
      <c r="R21" s="35">
        <f>'50 Categorias Homem'!E21</f>
        <v>0</v>
      </c>
      <c r="S21" s="35">
        <f>'50 Categorias Mulher'!E21</f>
        <v>0</v>
      </c>
      <c r="T21" s="35">
        <f t="shared" si="5"/>
        <v>0</v>
      </c>
      <c r="U21" s="35">
        <f>'50 Categorias Homem'!H21</f>
        <v>0</v>
      </c>
      <c r="V21" s="35">
        <f>'50 Categorias Mulher'!H21</f>
        <v>0</v>
      </c>
      <c r="W21" s="35">
        <f t="shared" si="6"/>
        <v>0</v>
      </c>
      <c r="X21" s="35">
        <f>'50 Categorias Homem'!J21</f>
        <v>0</v>
      </c>
      <c r="Y21" s="35">
        <f>'50 Categorias Mulher'!J21</f>
        <v>0</v>
      </c>
      <c r="Z21" s="35">
        <f t="shared" si="7"/>
        <v>0</v>
      </c>
    </row>
    <row r="22" spans="2:26" ht="17.25" customHeight="1" x14ac:dyDescent="0.4">
      <c r="B22" s="64" t="s">
        <v>124</v>
      </c>
      <c r="C22" s="71" t="str">
        <f t="shared" si="0"/>
        <v/>
      </c>
      <c r="D22" s="66">
        <v>18</v>
      </c>
      <c r="E22" s="36" t="str">
        <f t="shared" si="1"/>
        <v/>
      </c>
      <c r="F22" s="65" t="s">
        <v>125</v>
      </c>
      <c r="G22" s="64" t="s">
        <v>171</v>
      </c>
      <c r="H22" s="36" t="str">
        <f t="shared" si="2"/>
        <v/>
      </c>
      <c r="I22" s="66">
        <v>43</v>
      </c>
      <c r="J22" s="36" t="str">
        <f t="shared" si="3"/>
        <v/>
      </c>
      <c r="K22" s="65" t="s">
        <v>172</v>
      </c>
      <c r="O22" s="35">
        <f>'50 Categorias Homem'!C22</f>
        <v>0</v>
      </c>
      <c r="P22" s="35">
        <f>'50 Categorias Mulher'!C22</f>
        <v>0</v>
      </c>
      <c r="Q22" s="35">
        <f t="shared" si="4"/>
        <v>0</v>
      </c>
      <c r="R22" s="35">
        <f>'50 Categorias Homem'!E22</f>
        <v>0</v>
      </c>
      <c r="S22" s="35">
        <f>'50 Categorias Mulher'!E22</f>
        <v>0</v>
      </c>
      <c r="T22" s="35">
        <f t="shared" si="5"/>
        <v>0</v>
      </c>
      <c r="U22" s="35">
        <f>'50 Categorias Homem'!H22</f>
        <v>0</v>
      </c>
      <c r="V22" s="35">
        <f>'50 Categorias Mulher'!H22</f>
        <v>0</v>
      </c>
      <c r="W22" s="35">
        <f t="shared" si="6"/>
        <v>0</v>
      </c>
      <c r="X22" s="35">
        <f>'50 Categorias Homem'!J22</f>
        <v>0</v>
      </c>
      <c r="Y22" s="35">
        <f>'50 Categorias Mulher'!J22</f>
        <v>0</v>
      </c>
      <c r="Z22" s="35">
        <f t="shared" si="7"/>
        <v>0</v>
      </c>
    </row>
    <row r="23" spans="2:26" ht="17.25" customHeight="1" x14ac:dyDescent="0.4">
      <c r="B23" s="64" t="s">
        <v>126</v>
      </c>
      <c r="C23" s="71" t="str">
        <f t="shared" si="0"/>
        <v/>
      </c>
      <c r="D23" s="66">
        <v>19</v>
      </c>
      <c r="E23" s="36" t="str">
        <f t="shared" si="1"/>
        <v/>
      </c>
      <c r="F23" s="65" t="s">
        <v>127</v>
      </c>
      <c r="G23" s="64" t="s">
        <v>173</v>
      </c>
      <c r="H23" s="36" t="str">
        <f t="shared" si="2"/>
        <v/>
      </c>
      <c r="I23" s="66">
        <v>44</v>
      </c>
      <c r="J23" s="36" t="str">
        <f t="shared" si="3"/>
        <v/>
      </c>
      <c r="K23" s="65" t="s">
        <v>174</v>
      </c>
      <c r="O23" s="35">
        <f>'50 Categorias Homem'!C23</f>
        <v>0</v>
      </c>
      <c r="P23" s="35">
        <f>'50 Categorias Mulher'!C23</f>
        <v>0</v>
      </c>
      <c r="Q23" s="35">
        <f t="shared" si="4"/>
        <v>0</v>
      </c>
      <c r="R23" s="35">
        <f>'50 Categorias Homem'!E23</f>
        <v>0</v>
      </c>
      <c r="S23" s="35">
        <f>'50 Categorias Mulher'!E23</f>
        <v>0</v>
      </c>
      <c r="T23" s="35">
        <f t="shared" si="5"/>
        <v>0</v>
      </c>
      <c r="U23" s="35">
        <f>'50 Categorias Homem'!H23</f>
        <v>0</v>
      </c>
      <c r="V23" s="35">
        <f>'50 Categorias Mulher'!H23</f>
        <v>0</v>
      </c>
      <c r="W23" s="35">
        <f t="shared" si="6"/>
        <v>0</v>
      </c>
      <c r="X23" s="35">
        <f>'50 Categorias Homem'!J23</f>
        <v>0</v>
      </c>
      <c r="Y23" s="35">
        <f>'50 Categorias Mulher'!J23</f>
        <v>0</v>
      </c>
      <c r="Z23" s="35">
        <f t="shared" si="7"/>
        <v>0</v>
      </c>
    </row>
    <row r="24" spans="2:26" ht="17.25" customHeight="1" x14ac:dyDescent="0.4">
      <c r="B24" s="64" t="s">
        <v>128</v>
      </c>
      <c r="C24" s="71" t="str">
        <f t="shared" si="0"/>
        <v/>
      </c>
      <c r="D24" s="66">
        <v>20</v>
      </c>
      <c r="E24" s="36" t="str">
        <f t="shared" si="1"/>
        <v/>
      </c>
      <c r="F24" s="65" t="s">
        <v>129</v>
      </c>
      <c r="G24" s="64" t="s">
        <v>175</v>
      </c>
      <c r="H24" s="36" t="str">
        <f t="shared" si="2"/>
        <v/>
      </c>
      <c r="I24" s="66">
        <v>45</v>
      </c>
      <c r="J24" s="36" t="str">
        <f t="shared" si="3"/>
        <v/>
      </c>
      <c r="K24" s="65" t="s">
        <v>176</v>
      </c>
      <c r="O24" s="35">
        <f>'50 Categorias Homem'!C24</f>
        <v>0</v>
      </c>
      <c r="P24" s="35">
        <f>'50 Categorias Mulher'!C24</f>
        <v>0</v>
      </c>
      <c r="Q24" s="35">
        <f t="shared" si="4"/>
        <v>0</v>
      </c>
      <c r="R24" s="35">
        <f>'50 Categorias Homem'!E24</f>
        <v>0</v>
      </c>
      <c r="S24" s="35">
        <f>'50 Categorias Mulher'!E24</f>
        <v>0</v>
      </c>
      <c r="T24" s="35">
        <f t="shared" si="5"/>
        <v>0</v>
      </c>
      <c r="U24" s="35">
        <f>'50 Categorias Homem'!H24</f>
        <v>0</v>
      </c>
      <c r="V24" s="35">
        <f>'50 Categorias Mulher'!H24</f>
        <v>0</v>
      </c>
      <c r="W24" s="35">
        <f t="shared" si="6"/>
        <v>0</v>
      </c>
      <c r="X24" s="35">
        <f>'50 Categorias Homem'!J24</f>
        <v>0</v>
      </c>
      <c r="Y24" s="35">
        <f>'50 Categorias Mulher'!J24</f>
        <v>0</v>
      </c>
      <c r="Z24" s="35">
        <f t="shared" si="7"/>
        <v>0</v>
      </c>
    </row>
    <row r="25" spans="2:26" ht="17.25" customHeight="1" x14ac:dyDescent="0.4">
      <c r="B25" s="64" t="s">
        <v>130</v>
      </c>
      <c r="C25" s="71" t="str">
        <f t="shared" si="0"/>
        <v/>
      </c>
      <c r="D25" s="66">
        <v>21</v>
      </c>
      <c r="E25" s="36" t="str">
        <f t="shared" si="1"/>
        <v/>
      </c>
      <c r="F25" s="65" t="s">
        <v>131</v>
      </c>
      <c r="G25" s="64" t="s">
        <v>177</v>
      </c>
      <c r="H25" s="36" t="str">
        <f t="shared" si="2"/>
        <v/>
      </c>
      <c r="I25" s="66">
        <v>46</v>
      </c>
      <c r="J25" s="36" t="str">
        <f t="shared" si="3"/>
        <v/>
      </c>
      <c r="K25" s="65" t="s">
        <v>178</v>
      </c>
      <c r="O25" s="35">
        <f>'50 Categorias Homem'!C25</f>
        <v>0</v>
      </c>
      <c r="P25" s="35">
        <f>'50 Categorias Mulher'!C25</f>
        <v>0</v>
      </c>
      <c r="Q25" s="35">
        <f t="shared" si="4"/>
        <v>0</v>
      </c>
      <c r="R25" s="35">
        <f>'50 Categorias Homem'!E25</f>
        <v>0</v>
      </c>
      <c r="S25" s="35">
        <f>'50 Categorias Mulher'!E25</f>
        <v>0</v>
      </c>
      <c r="T25" s="35">
        <f t="shared" si="5"/>
        <v>0</v>
      </c>
      <c r="U25" s="35">
        <f>'50 Categorias Homem'!H25</f>
        <v>0</v>
      </c>
      <c r="V25" s="35">
        <f>'50 Categorias Mulher'!H25</f>
        <v>0</v>
      </c>
      <c r="W25" s="35">
        <f t="shared" si="6"/>
        <v>0</v>
      </c>
      <c r="X25" s="35">
        <f>'50 Categorias Homem'!J25</f>
        <v>0</v>
      </c>
      <c r="Y25" s="35">
        <f>'50 Categorias Mulher'!J25</f>
        <v>0</v>
      </c>
      <c r="Z25" s="35">
        <f t="shared" si="7"/>
        <v>0</v>
      </c>
    </row>
    <row r="26" spans="2:26" ht="17.25" customHeight="1" x14ac:dyDescent="0.4">
      <c r="B26" s="64" t="s">
        <v>132</v>
      </c>
      <c r="C26" s="71" t="str">
        <f t="shared" si="0"/>
        <v/>
      </c>
      <c r="D26" s="66">
        <v>22</v>
      </c>
      <c r="E26" s="36" t="str">
        <f t="shared" si="1"/>
        <v/>
      </c>
      <c r="F26" s="65" t="s">
        <v>133</v>
      </c>
      <c r="G26" s="64" t="s">
        <v>179</v>
      </c>
      <c r="H26" s="36" t="str">
        <f t="shared" si="2"/>
        <v/>
      </c>
      <c r="I26" s="66">
        <v>47</v>
      </c>
      <c r="J26" s="36" t="str">
        <f t="shared" si="3"/>
        <v/>
      </c>
      <c r="K26" s="65" t="s">
        <v>180</v>
      </c>
      <c r="O26" s="35">
        <f>'50 Categorias Homem'!C26</f>
        <v>0</v>
      </c>
      <c r="P26" s="35">
        <f>'50 Categorias Mulher'!C26</f>
        <v>0</v>
      </c>
      <c r="Q26" s="35">
        <f t="shared" si="4"/>
        <v>0</v>
      </c>
      <c r="R26" s="35">
        <f>'50 Categorias Homem'!E26</f>
        <v>0</v>
      </c>
      <c r="S26" s="35">
        <f>'50 Categorias Mulher'!E26</f>
        <v>0</v>
      </c>
      <c r="T26" s="35">
        <f t="shared" si="5"/>
        <v>0</v>
      </c>
      <c r="U26" s="35">
        <f>'50 Categorias Homem'!H26</f>
        <v>0</v>
      </c>
      <c r="V26" s="35">
        <f>'50 Categorias Mulher'!H26</f>
        <v>0</v>
      </c>
      <c r="W26" s="35">
        <f t="shared" si="6"/>
        <v>0</v>
      </c>
      <c r="X26" s="35">
        <f>'50 Categorias Homem'!J26</f>
        <v>0</v>
      </c>
      <c r="Y26" s="35">
        <f>'50 Categorias Mulher'!J26</f>
        <v>0</v>
      </c>
      <c r="Z26" s="35">
        <f t="shared" si="7"/>
        <v>0</v>
      </c>
    </row>
    <row r="27" spans="2:26" ht="17.25" customHeight="1" x14ac:dyDescent="0.4">
      <c r="B27" s="64" t="s">
        <v>134</v>
      </c>
      <c r="C27" s="71" t="str">
        <f t="shared" si="0"/>
        <v/>
      </c>
      <c r="D27" s="66">
        <v>23</v>
      </c>
      <c r="E27" s="36" t="str">
        <f t="shared" si="1"/>
        <v/>
      </c>
      <c r="F27" s="65" t="s">
        <v>135</v>
      </c>
      <c r="G27" s="64" t="s">
        <v>181</v>
      </c>
      <c r="H27" s="36" t="str">
        <f t="shared" si="2"/>
        <v/>
      </c>
      <c r="I27" s="66">
        <v>48</v>
      </c>
      <c r="J27" s="36" t="str">
        <f t="shared" si="3"/>
        <v/>
      </c>
      <c r="K27" s="65" t="s">
        <v>182</v>
      </c>
      <c r="O27" s="35">
        <f>'50 Categorias Homem'!C27</f>
        <v>0</v>
      </c>
      <c r="P27" s="35">
        <f>'50 Categorias Mulher'!C27</f>
        <v>0</v>
      </c>
      <c r="Q27" s="35">
        <f t="shared" si="4"/>
        <v>0</v>
      </c>
      <c r="R27" s="35">
        <f>'50 Categorias Homem'!E27</f>
        <v>0</v>
      </c>
      <c r="S27" s="35">
        <f>'50 Categorias Mulher'!E27</f>
        <v>0</v>
      </c>
      <c r="T27" s="35">
        <f t="shared" si="5"/>
        <v>0</v>
      </c>
      <c r="U27" s="35">
        <f>'50 Categorias Homem'!H27</f>
        <v>0</v>
      </c>
      <c r="V27" s="35">
        <f>'50 Categorias Mulher'!H27</f>
        <v>0</v>
      </c>
      <c r="W27" s="35">
        <f t="shared" si="6"/>
        <v>0</v>
      </c>
      <c r="X27" s="35">
        <f>'50 Categorias Homem'!J27</f>
        <v>0</v>
      </c>
      <c r="Y27" s="35">
        <f>'50 Categorias Mulher'!J27</f>
        <v>0</v>
      </c>
      <c r="Z27" s="35">
        <f t="shared" si="7"/>
        <v>0</v>
      </c>
    </row>
    <row r="28" spans="2:26" ht="17.25" customHeight="1" x14ac:dyDescent="0.4">
      <c r="B28" s="64" t="s">
        <v>136</v>
      </c>
      <c r="C28" s="71" t="str">
        <f t="shared" si="0"/>
        <v/>
      </c>
      <c r="D28" s="66">
        <v>24</v>
      </c>
      <c r="E28" s="36" t="str">
        <f t="shared" si="1"/>
        <v/>
      </c>
      <c r="F28" s="65" t="s">
        <v>137</v>
      </c>
      <c r="G28" s="64" t="s">
        <v>183</v>
      </c>
      <c r="H28" s="36" t="str">
        <f t="shared" si="2"/>
        <v/>
      </c>
      <c r="I28" s="66">
        <v>49</v>
      </c>
      <c r="J28" s="36" t="str">
        <f t="shared" si="3"/>
        <v/>
      </c>
      <c r="K28" s="65" t="s">
        <v>184</v>
      </c>
      <c r="O28" s="35">
        <f>'50 Categorias Homem'!C28</f>
        <v>0</v>
      </c>
      <c r="P28" s="35">
        <f>'50 Categorias Mulher'!C28</f>
        <v>0</v>
      </c>
      <c r="Q28" s="35">
        <f t="shared" si="4"/>
        <v>0</v>
      </c>
      <c r="R28" s="35">
        <f>'50 Categorias Homem'!E28</f>
        <v>0</v>
      </c>
      <c r="S28" s="35">
        <f>'50 Categorias Mulher'!E28</f>
        <v>0</v>
      </c>
      <c r="T28" s="35">
        <f t="shared" si="5"/>
        <v>0</v>
      </c>
      <c r="U28" s="35">
        <f>'50 Categorias Homem'!H28</f>
        <v>0</v>
      </c>
      <c r="V28" s="35">
        <f>'50 Categorias Mulher'!H28</f>
        <v>0</v>
      </c>
      <c r="W28" s="35">
        <f t="shared" si="6"/>
        <v>0</v>
      </c>
      <c r="X28" s="35">
        <f>'50 Categorias Homem'!J28</f>
        <v>0</v>
      </c>
      <c r="Y28" s="35">
        <f>'50 Categorias Mulher'!J28</f>
        <v>0</v>
      </c>
      <c r="Z28" s="35">
        <f t="shared" si="7"/>
        <v>0</v>
      </c>
    </row>
    <row r="29" spans="2:26" ht="17.25" customHeight="1" x14ac:dyDescent="0.4">
      <c r="B29" s="64" t="s">
        <v>138</v>
      </c>
      <c r="C29" s="71" t="str">
        <f t="shared" si="0"/>
        <v/>
      </c>
      <c r="D29" s="66">
        <v>25</v>
      </c>
      <c r="E29" s="36" t="str">
        <f t="shared" si="1"/>
        <v/>
      </c>
      <c r="F29" s="65" t="s">
        <v>139</v>
      </c>
      <c r="G29" s="64" t="s">
        <v>185</v>
      </c>
      <c r="H29" s="36" t="str">
        <f t="shared" si="2"/>
        <v/>
      </c>
      <c r="I29" s="66">
        <v>50</v>
      </c>
      <c r="J29" s="36" t="str">
        <f t="shared" si="3"/>
        <v/>
      </c>
      <c r="K29" s="65" t="s">
        <v>186</v>
      </c>
      <c r="O29" s="35">
        <f>'50 Categorias Homem'!C29</f>
        <v>0</v>
      </c>
      <c r="P29" s="35">
        <f>'50 Categorias Mulher'!C29</f>
        <v>0</v>
      </c>
      <c r="Q29" s="35">
        <f t="shared" si="4"/>
        <v>0</v>
      </c>
      <c r="R29" s="35">
        <f>'50 Categorias Homem'!E29</f>
        <v>0</v>
      </c>
      <c r="S29" s="35">
        <f>'50 Categorias Mulher'!E29</f>
        <v>0</v>
      </c>
      <c r="T29" s="35">
        <f t="shared" si="5"/>
        <v>0</v>
      </c>
      <c r="U29" s="35">
        <f>'50 Categorias Homem'!H29</f>
        <v>0</v>
      </c>
      <c r="V29" s="35">
        <f>'50 Categorias Mulher'!H29</f>
        <v>0</v>
      </c>
      <c r="W29" s="35">
        <f t="shared" si="6"/>
        <v>0</v>
      </c>
      <c r="X29" s="35">
        <f>'50 Categorias Homem'!J29</f>
        <v>0</v>
      </c>
      <c r="Y29" s="35">
        <f>'50 Categorias Mulher'!J29</f>
        <v>0</v>
      </c>
      <c r="Z29" s="35">
        <f t="shared" si="7"/>
        <v>0</v>
      </c>
    </row>
    <row r="52" spans="1:5" ht="13.8" x14ac:dyDescent="0.4">
      <c r="B52" s="166" t="s">
        <v>220</v>
      </c>
      <c r="C52" s="162"/>
      <c r="D52" s="162"/>
      <c r="E52" s="162"/>
    </row>
    <row r="53" spans="1:5" ht="13.8" x14ac:dyDescent="0.45">
      <c r="B53" s="166" t="str">
        <f>'Comparativo 5 Variáveis'!D80</f>
        <v>Convergência</v>
      </c>
      <c r="C53" s="166">
        <f>'Comparativo 5 Variáveis'!E80</f>
        <v>0</v>
      </c>
      <c r="D53" s="247">
        <f>C53/C55</f>
        <v>0</v>
      </c>
      <c r="E53" s="247"/>
    </row>
    <row r="54" spans="1:5" ht="13.8" x14ac:dyDescent="0.45">
      <c r="B54" s="166" t="str">
        <f>'Comparativo 5 Variáveis'!D81</f>
        <v>Divergência</v>
      </c>
      <c r="C54" s="166">
        <f>'Comparativo 5 Variáveis'!E81</f>
        <v>26</v>
      </c>
      <c r="D54" s="247">
        <f>C54/C55</f>
        <v>1</v>
      </c>
      <c r="E54" s="247"/>
    </row>
    <row r="55" spans="1:5" ht="13.8" x14ac:dyDescent="0.45">
      <c r="B55" s="167" t="s">
        <v>219</v>
      </c>
      <c r="C55" s="162">
        <f>SUM(C53:C54)</f>
        <v>26</v>
      </c>
      <c r="D55" s="167"/>
      <c r="E55" s="168"/>
    </row>
    <row r="56" spans="1:5" ht="13.8" x14ac:dyDescent="0.45">
      <c r="B56" s="166" t="s">
        <v>194</v>
      </c>
      <c r="C56" s="169">
        <f>COUNTIF(C5:C29, "S")+COUNTIF(H5:H29, "s")</f>
        <v>0</v>
      </c>
      <c r="D56" s="247" t="e">
        <f>C56/C58</f>
        <v>#DIV/0!</v>
      </c>
      <c r="E56" s="247"/>
    </row>
    <row r="57" spans="1:5" ht="13.8" x14ac:dyDescent="0.45">
      <c r="B57" s="166" t="s">
        <v>195</v>
      </c>
      <c r="C57" s="169">
        <f>COUNTIF(E5:E29, "s")+COUNTIF(J5:J29, "s")</f>
        <v>0</v>
      </c>
      <c r="D57" s="247" t="e">
        <f>C57/C58</f>
        <v>#DIV/0!</v>
      </c>
      <c r="E57" s="247"/>
    </row>
    <row r="58" spans="1:5" ht="13.8" x14ac:dyDescent="0.45">
      <c r="A58" s="1"/>
      <c r="B58" s="170"/>
      <c r="C58" s="162">
        <f>SUM(C56:C57)</f>
        <v>0</v>
      </c>
      <c r="D58" s="171"/>
      <c r="E58" s="171"/>
    </row>
    <row r="59" spans="1:5" x14ac:dyDescent="0.4">
      <c r="B59" s="170"/>
      <c r="C59" s="162"/>
      <c r="D59" s="162"/>
      <c r="E59" s="162"/>
    </row>
  </sheetData>
  <sheetProtection password="CFC0" sheet="1" objects="1" scenarios="1"/>
  <mergeCells count="10">
    <mergeCell ref="D53:E53"/>
    <mergeCell ref="D54:E54"/>
    <mergeCell ref="D56:E56"/>
    <mergeCell ref="D57:E57"/>
    <mergeCell ref="B1:K1"/>
    <mergeCell ref="B2:K2"/>
    <mergeCell ref="B3:C3"/>
    <mergeCell ref="E3:F3"/>
    <mergeCell ref="G3:H3"/>
    <mergeCell ref="J3:K3"/>
  </mergeCells>
  <conditionalFormatting sqref="B5">
    <cfRule type="cellIs" dxfId="12" priority="8" operator="equal">
      <formula>"x"</formula>
    </cfRule>
    <cfRule type="dataBar" priority="9">
      <dataBar>
        <cfvo type="min"/>
        <cfvo type="max"/>
        <color rgb="FF638EC6"/>
      </dataBar>
    </cfRule>
    <cfRule type="dataBar" priority="10">
      <dataBar>
        <cfvo type="min"/>
        <cfvo type="max"/>
        <color rgb="FF638EC6"/>
      </dataBar>
    </cfRule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C5:C29 E5:E29 H5:H29 J5:J29 E62:E1048576">
    <cfRule type="cellIs" dxfId="11" priority="6" operator="equal">
      <formula>"x"</formula>
    </cfRule>
  </conditionalFormatting>
  <conditionalFormatting sqref="C5:C29 H5:H29 C62:C1048576">
    <cfRule type="cellIs" dxfId="10" priority="7" operator="equal">
      <formula>"x"</formula>
    </cfRule>
  </conditionalFormatting>
  <conditionalFormatting sqref="C5:C29 H5:H29 E5:E29 J5:J29">
    <cfRule type="cellIs" dxfId="9" priority="3" operator="equal">
      <formula>"s"</formula>
    </cfRule>
  </conditionalFormatting>
  <conditionalFormatting sqref="C5:C29 H5:H29">
    <cfRule type="cellIs" dxfId="8" priority="2" operator="equal">
      <formula>"s"</formula>
    </cfRule>
  </conditionalFormatting>
  <conditionalFormatting sqref="E5:E29 J5:J29">
    <cfRule type="cellIs" dxfId="7" priority="1" operator="equal">
      <formula>"s"</formula>
    </cfRule>
  </conditionalFormatting>
  <pageMargins left="0.23622047244094491" right="0.23622047244094491" top="0.74803149606299213" bottom="0.74803149606299213" header="0.31496062992125984" footer="0.31496062992125984"/>
  <pageSetup paperSize="9" scale="51" orientation="landscape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4"/>
  <sheetViews>
    <sheetView showGridLines="0" workbookViewId="0">
      <selection activeCell="A24" sqref="A24"/>
    </sheetView>
  </sheetViews>
  <sheetFormatPr defaultRowHeight="12.3" x14ac:dyDescent="0.4"/>
  <cols>
    <col min="1" max="1" width="131" customWidth="1"/>
  </cols>
  <sheetData>
    <row r="1" spans="1:1" ht="17.7" x14ac:dyDescent="0.6">
      <c r="A1" s="61" t="s">
        <v>202</v>
      </c>
    </row>
    <row r="2" spans="1:1" ht="6.75" customHeight="1" x14ac:dyDescent="0.4"/>
    <row r="3" spans="1:1" ht="14.1" x14ac:dyDescent="0.5">
      <c r="A3" s="73" t="s">
        <v>223</v>
      </c>
    </row>
    <row r="4" spans="1:1" ht="13.8" x14ac:dyDescent="0.4">
      <c r="A4" s="74" t="s">
        <v>207</v>
      </c>
    </row>
    <row r="5" spans="1:1" ht="6.75" customHeight="1" x14ac:dyDescent="0.45">
      <c r="A5" s="72"/>
    </row>
    <row r="6" spans="1:1" ht="14.1" x14ac:dyDescent="0.5">
      <c r="A6" s="73" t="s">
        <v>224</v>
      </c>
    </row>
    <row r="7" spans="1:1" ht="13.8" x14ac:dyDescent="0.4">
      <c r="A7" s="74" t="s">
        <v>207</v>
      </c>
    </row>
    <row r="11" spans="1:1" ht="20.100000000000001" x14ac:dyDescent="0.7">
      <c r="A11" s="75" t="s">
        <v>203</v>
      </c>
    </row>
    <row r="12" spans="1:1" ht="20.100000000000001" x14ac:dyDescent="0.7">
      <c r="A12" s="75" t="s">
        <v>204</v>
      </c>
    </row>
    <row r="13" spans="1:1" ht="20.100000000000001" x14ac:dyDescent="0.7">
      <c r="A13" s="75" t="s">
        <v>205</v>
      </c>
    </row>
    <row r="14" spans="1:1" ht="20.100000000000001" x14ac:dyDescent="0.7">
      <c r="A14" s="75" t="s">
        <v>206</v>
      </c>
    </row>
  </sheetData>
  <sheetProtection password="CFC0" sheet="1" objects="1" scenarios="1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7"/>
  <sheetViews>
    <sheetView showGridLines="0" workbookViewId="0">
      <selection activeCell="A2" sqref="A2:C2"/>
    </sheetView>
  </sheetViews>
  <sheetFormatPr defaultRowHeight="12.3" x14ac:dyDescent="0.4"/>
  <cols>
    <col min="1" max="1" width="106" style="113" customWidth="1"/>
    <col min="2" max="2" width="6.44140625" customWidth="1"/>
    <col min="3" max="3" width="4.83203125" style="117" customWidth="1"/>
    <col min="4" max="4" width="14.5546875" style="116" hidden="1" customWidth="1"/>
  </cols>
  <sheetData>
    <row r="1" spans="1:4" ht="17.399999999999999" x14ac:dyDescent="0.4">
      <c r="A1" s="248" t="s">
        <v>480</v>
      </c>
      <c r="B1" s="249"/>
      <c r="C1" s="249"/>
    </row>
    <row r="2" spans="1:4" ht="33.75" customHeight="1" x14ac:dyDescent="0.4">
      <c r="A2" s="250" t="s">
        <v>226</v>
      </c>
      <c r="B2" s="250"/>
      <c r="C2" s="250"/>
    </row>
    <row r="3" spans="1:4" ht="6" customHeight="1" x14ac:dyDescent="0.4"/>
    <row r="4" spans="1:4" ht="24.75" customHeight="1" x14ac:dyDescent="0.4">
      <c r="A4" s="118" t="s">
        <v>481</v>
      </c>
      <c r="C4" s="117" t="str">
        <f>IF(D4, "Sim", "")</f>
        <v/>
      </c>
      <c r="D4" s="116" t="b">
        <v>0</v>
      </c>
    </row>
    <row r="5" spans="1:4" ht="27.6" customHeight="1" x14ac:dyDescent="0.4">
      <c r="A5" s="114" t="s">
        <v>482</v>
      </c>
      <c r="C5" s="117" t="str">
        <f t="shared" ref="C5:C28" si="0">IF(D5, "Sim", "")</f>
        <v/>
      </c>
      <c r="D5" s="116" t="b">
        <v>0</v>
      </c>
    </row>
    <row r="6" spans="1:4" ht="27.6" customHeight="1" x14ac:dyDescent="0.4">
      <c r="A6" s="118" t="s">
        <v>483</v>
      </c>
      <c r="C6" s="117" t="str">
        <f t="shared" si="0"/>
        <v/>
      </c>
      <c r="D6" s="116" t="b">
        <v>0</v>
      </c>
    </row>
    <row r="7" spans="1:4" ht="31.5" customHeight="1" x14ac:dyDescent="0.4">
      <c r="A7" s="114" t="s">
        <v>484</v>
      </c>
      <c r="C7" s="117" t="str">
        <f t="shared" si="0"/>
        <v/>
      </c>
      <c r="D7" s="116" t="b">
        <v>0</v>
      </c>
    </row>
    <row r="8" spans="1:4" ht="27.6" customHeight="1" x14ac:dyDescent="0.4">
      <c r="A8" s="118" t="s">
        <v>485</v>
      </c>
      <c r="C8" s="117" t="str">
        <f t="shared" si="0"/>
        <v/>
      </c>
      <c r="D8" s="116" t="b">
        <v>0</v>
      </c>
    </row>
    <row r="9" spans="1:4" ht="27.6" customHeight="1" x14ac:dyDescent="0.4">
      <c r="A9" s="114" t="s">
        <v>486</v>
      </c>
      <c r="C9" s="117" t="str">
        <f t="shared" si="0"/>
        <v/>
      </c>
      <c r="D9" s="116" t="b">
        <v>0</v>
      </c>
    </row>
    <row r="10" spans="1:4" ht="27.6" customHeight="1" x14ac:dyDescent="0.4">
      <c r="A10" s="118" t="s">
        <v>487</v>
      </c>
      <c r="C10" s="117" t="str">
        <f t="shared" si="0"/>
        <v/>
      </c>
      <c r="D10" s="116" t="b">
        <v>0</v>
      </c>
    </row>
    <row r="11" spans="1:4" ht="27.6" customHeight="1" x14ac:dyDescent="0.4">
      <c r="A11" s="114" t="s">
        <v>488</v>
      </c>
      <c r="C11" s="117" t="str">
        <f t="shared" si="0"/>
        <v/>
      </c>
      <c r="D11" s="116" t="b">
        <v>0</v>
      </c>
    </row>
    <row r="12" spans="1:4" ht="27.6" customHeight="1" x14ac:dyDescent="0.4">
      <c r="A12" s="118" t="s">
        <v>489</v>
      </c>
      <c r="C12" s="117" t="str">
        <f t="shared" si="0"/>
        <v/>
      </c>
      <c r="D12" s="116" t="b">
        <v>0</v>
      </c>
    </row>
    <row r="13" spans="1:4" ht="27.6" customHeight="1" x14ac:dyDescent="0.4">
      <c r="A13" s="114" t="s">
        <v>490</v>
      </c>
      <c r="C13" s="117" t="str">
        <f t="shared" si="0"/>
        <v/>
      </c>
      <c r="D13" s="116" t="b">
        <v>0</v>
      </c>
    </row>
    <row r="14" spans="1:4" ht="27.6" customHeight="1" x14ac:dyDescent="0.4">
      <c r="A14" s="118" t="s">
        <v>491</v>
      </c>
      <c r="C14" s="117" t="str">
        <f t="shared" si="0"/>
        <v/>
      </c>
      <c r="D14" s="116" t="b">
        <v>0</v>
      </c>
    </row>
    <row r="15" spans="1:4" ht="27.6" customHeight="1" x14ac:dyDescent="0.4">
      <c r="A15" s="114" t="s">
        <v>492</v>
      </c>
      <c r="C15" s="117" t="str">
        <f t="shared" si="0"/>
        <v/>
      </c>
      <c r="D15" s="116" t="b">
        <v>0</v>
      </c>
    </row>
    <row r="16" spans="1:4" ht="27.6" customHeight="1" x14ac:dyDescent="0.4">
      <c r="A16" s="118" t="s">
        <v>493</v>
      </c>
      <c r="C16" s="117" t="str">
        <f t="shared" si="0"/>
        <v/>
      </c>
      <c r="D16" s="116" t="b">
        <v>0</v>
      </c>
    </row>
    <row r="17" spans="1:6" ht="32.25" customHeight="1" x14ac:dyDescent="0.4">
      <c r="A17" s="114" t="s">
        <v>494</v>
      </c>
      <c r="C17" s="117" t="str">
        <f t="shared" si="0"/>
        <v/>
      </c>
      <c r="D17" s="116" t="b">
        <v>0</v>
      </c>
    </row>
    <row r="18" spans="1:6" ht="27.6" customHeight="1" x14ac:dyDescent="0.4">
      <c r="A18" s="118" t="s">
        <v>495</v>
      </c>
      <c r="C18" s="117" t="str">
        <f t="shared" si="0"/>
        <v/>
      </c>
      <c r="D18" s="116" t="b">
        <v>0</v>
      </c>
    </row>
    <row r="19" spans="1:6" ht="27.6" customHeight="1" x14ac:dyDescent="0.4">
      <c r="A19" s="114" t="s">
        <v>496</v>
      </c>
      <c r="C19" s="117" t="str">
        <f t="shared" si="0"/>
        <v/>
      </c>
      <c r="D19" s="116" t="b">
        <v>0</v>
      </c>
    </row>
    <row r="20" spans="1:6" ht="31.5" customHeight="1" x14ac:dyDescent="0.4">
      <c r="A20" s="118" t="s">
        <v>497</v>
      </c>
      <c r="C20" s="117" t="str">
        <f t="shared" si="0"/>
        <v/>
      </c>
      <c r="D20" s="116" t="b">
        <v>0</v>
      </c>
    </row>
    <row r="21" spans="1:6" ht="27.6" customHeight="1" x14ac:dyDescent="0.4">
      <c r="A21" s="114" t="s">
        <v>498</v>
      </c>
      <c r="C21" s="117" t="str">
        <f t="shared" si="0"/>
        <v/>
      </c>
      <c r="D21" s="116" t="b">
        <v>0</v>
      </c>
    </row>
    <row r="22" spans="1:6" ht="27.6" customHeight="1" x14ac:dyDescent="0.4">
      <c r="A22" s="118" t="s">
        <v>499</v>
      </c>
      <c r="C22" s="117" t="str">
        <f t="shared" si="0"/>
        <v/>
      </c>
      <c r="D22" s="116" t="b">
        <v>0</v>
      </c>
    </row>
    <row r="23" spans="1:6" ht="27.6" customHeight="1" x14ac:dyDescent="0.4">
      <c r="A23" s="114" t="s">
        <v>500</v>
      </c>
      <c r="C23" s="117" t="str">
        <f t="shared" si="0"/>
        <v/>
      </c>
      <c r="D23" s="116" t="b">
        <v>0</v>
      </c>
    </row>
    <row r="24" spans="1:6" ht="27.6" customHeight="1" x14ac:dyDescent="0.4">
      <c r="A24" s="118" t="s">
        <v>501</v>
      </c>
      <c r="C24" s="117" t="str">
        <f t="shared" si="0"/>
        <v/>
      </c>
      <c r="D24" s="116" t="b">
        <v>0</v>
      </c>
    </row>
    <row r="25" spans="1:6" ht="30.75" customHeight="1" x14ac:dyDescent="0.4">
      <c r="A25" s="114" t="s">
        <v>225</v>
      </c>
      <c r="C25" s="117" t="str">
        <f t="shared" si="0"/>
        <v/>
      </c>
      <c r="D25" s="116" t="b">
        <v>0</v>
      </c>
    </row>
    <row r="26" spans="1:6" ht="33.75" customHeight="1" x14ac:dyDescent="0.4">
      <c r="A26" s="118" t="s">
        <v>502</v>
      </c>
      <c r="C26" s="117" t="str">
        <f t="shared" si="0"/>
        <v/>
      </c>
      <c r="D26" s="116" t="b">
        <v>0</v>
      </c>
    </row>
    <row r="27" spans="1:6" ht="32.25" customHeight="1" x14ac:dyDescent="0.4">
      <c r="A27" s="114" t="s">
        <v>503</v>
      </c>
      <c r="C27" s="117" t="str">
        <f t="shared" si="0"/>
        <v/>
      </c>
      <c r="D27" s="116" t="b">
        <v>0</v>
      </c>
    </row>
    <row r="28" spans="1:6" ht="33" customHeight="1" x14ac:dyDescent="0.4">
      <c r="A28" s="118" t="s">
        <v>504</v>
      </c>
      <c r="C28" s="117" t="str">
        <f t="shared" si="0"/>
        <v/>
      </c>
      <c r="D28" s="116" t="b">
        <v>0</v>
      </c>
    </row>
    <row r="29" spans="1:6" ht="12.6" thickBot="1" x14ac:dyDescent="0.45"/>
    <row r="30" spans="1:6" ht="29.1" thickBot="1" x14ac:dyDescent="0.6">
      <c r="A30" s="112" t="s">
        <v>479</v>
      </c>
      <c r="B30" s="177" t="s">
        <v>229</v>
      </c>
      <c r="C30" s="120">
        <f>F30</f>
        <v>0</v>
      </c>
      <c r="E30" s="176" t="s">
        <v>227</v>
      </c>
      <c r="F30" s="69">
        <f>COUNTIF(C4:C28, "sim")</f>
        <v>0</v>
      </c>
    </row>
    <row r="31" spans="1:6" x14ac:dyDescent="0.4">
      <c r="E31" s="69" t="s">
        <v>228</v>
      </c>
      <c r="F31" s="69">
        <f>25-F30</f>
        <v>25</v>
      </c>
    </row>
    <row r="37" spans="2:2" x14ac:dyDescent="0.4">
      <c r="B37" s="115"/>
    </row>
  </sheetData>
  <sheetProtection password="CFC0" sheet="1" objects="1" scenarios="1"/>
  <mergeCells count="2">
    <mergeCell ref="A1:C1"/>
    <mergeCell ref="A2:C2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9697" r:id="rId4" name="Check Box 1">
              <controlPr defaultSize="0" autoFill="0" autoLine="0" autoPict="0">
                <anchor moveWithCells="1">
                  <from>
                    <xdr:col>1</xdr:col>
                    <xdr:colOff>30480</xdr:colOff>
                    <xdr:row>3</xdr:row>
                    <xdr:rowOff>19050</xdr:rowOff>
                  </from>
                  <to>
                    <xdr:col>1</xdr:col>
                    <xdr:colOff>152400</xdr:colOff>
                    <xdr:row>3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98" r:id="rId5" name="Check Box 2">
              <controlPr defaultSize="0" autoFill="0" autoLine="0" autoPict="0">
                <anchor moveWithCells="1">
                  <from>
                    <xdr:col>1</xdr:col>
                    <xdr:colOff>30480</xdr:colOff>
                    <xdr:row>4</xdr:row>
                    <xdr:rowOff>19050</xdr:rowOff>
                  </from>
                  <to>
                    <xdr:col>1</xdr:col>
                    <xdr:colOff>152400</xdr:colOff>
                    <xdr:row>4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99" r:id="rId6" name="Check Box 3">
              <controlPr defaultSize="0" autoFill="0" autoLine="0" autoPict="0">
                <anchor moveWithCells="1">
                  <from>
                    <xdr:col>1</xdr:col>
                    <xdr:colOff>30480</xdr:colOff>
                    <xdr:row>5</xdr:row>
                    <xdr:rowOff>19050</xdr:rowOff>
                  </from>
                  <to>
                    <xdr:col>1</xdr:col>
                    <xdr:colOff>152400</xdr:colOff>
                    <xdr:row>5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0" r:id="rId7" name="Check Box 4">
              <controlPr defaultSize="0" autoFill="0" autoLine="0" autoPict="0">
                <anchor moveWithCells="1">
                  <from>
                    <xdr:col>1</xdr:col>
                    <xdr:colOff>30480</xdr:colOff>
                    <xdr:row>6</xdr:row>
                    <xdr:rowOff>19050</xdr:rowOff>
                  </from>
                  <to>
                    <xdr:col>1</xdr:col>
                    <xdr:colOff>152400</xdr:colOff>
                    <xdr:row>6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1" r:id="rId8" name="Check Box 5">
              <controlPr defaultSize="0" autoFill="0" autoLine="0" autoPict="0">
                <anchor moveWithCells="1">
                  <from>
                    <xdr:col>1</xdr:col>
                    <xdr:colOff>30480</xdr:colOff>
                    <xdr:row>7</xdr:row>
                    <xdr:rowOff>19050</xdr:rowOff>
                  </from>
                  <to>
                    <xdr:col>1</xdr:col>
                    <xdr:colOff>152400</xdr:colOff>
                    <xdr:row>7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2" r:id="rId9" name="Check Box 6">
              <controlPr defaultSize="0" autoFill="0" autoLine="0" autoPict="0">
                <anchor moveWithCells="1">
                  <from>
                    <xdr:col>1</xdr:col>
                    <xdr:colOff>30480</xdr:colOff>
                    <xdr:row>8</xdr:row>
                    <xdr:rowOff>19050</xdr:rowOff>
                  </from>
                  <to>
                    <xdr:col>1</xdr:col>
                    <xdr:colOff>152400</xdr:colOff>
                    <xdr:row>8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3" r:id="rId10" name="Check Box 7">
              <controlPr defaultSize="0" autoFill="0" autoLine="0" autoPict="0">
                <anchor moveWithCells="1">
                  <from>
                    <xdr:col>1</xdr:col>
                    <xdr:colOff>30480</xdr:colOff>
                    <xdr:row>9</xdr:row>
                    <xdr:rowOff>26670</xdr:rowOff>
                  </from>
                  <to>
                    <xdr:col>1</xdr:col>
                    <xdr:colOff>152400</xdr:colOff>
                    <xdr:row>9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4" r:id="rId11" name="Check Box 8">
              <controlPr defaultSize="0" autoFill="0" autoLine="0" autoPict="0">
                <anchor moveWithCells="1">
                  <from>
                    <xdr:col>1</xdr:col>
                    <xdr:colOff>30480</xdr:colOff>
                    <xdr:row>10</xdr:row>
                    <xdr:rowOff>22860</xdr:rowOff>
                  </from>
                  <to>
                    <xdr:col>1</xdr:col>
                    <xdr:colOff>152400</xdr:colOff>
                    <xdr:row>10</xdr:row>
                    <xdr:rowOff>110490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5" r:id="rId12" name="Check Box 9">
              <controlPr defaultSize="0" autoFill="0" autoLine="0" autoPict="0">
                <anchor moveWithCells="1">
                  <from>
                    <xdr:col>1</xdr:col>
                    <xdr:colOff>30480</xdr:colOff>
                    <xdr:row>11</xdr:row>
                    <xdr:rowOff>19050</xdr:rowOff>
                  </from>
                  <to>
                    <xdr:col>1</xdr:col>
                    <xdr:colOff>152400</xdr:colOff>
                    <xdr:row>11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6" r:id="rId13" name="Check Box 10">
              <controlPr defaultSize="0" autoFill="0" autoLine="0" autoPict="0">
                <anchor moveWithCells="1">
                  <from>
                    <xdr:col>1</xdr:col>
                    <xdr:colOff>30480</xdr:colOff>
                    <xdr:row>12</xdr:row>
                    <xdr:rowOff>30480</xdr:rowOff>
                  </from>
                  <to>
                    <xdr:col>1</xdr:col>
                    <xdr:colOff>152400</xdr:colOff>
                    <xdr:row>12</xdr:row>
                    <xdr:rowOff>118110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7" r:id="rId14" name="Check Box 11">
              <controlPr defaultSize="0" autoFill="0" autoLine="0" autoPict="0">
                <anchor moveWithCells="1">
                  <from>
                    <xdr:col>1</xdr:col>
                    <xdr:colOff>30480</xdr:colOff>
                    <xdr:row>13</xdr:row>
                    <xdr:rowOff>19050</xdr:rowOff>
                  </from>
                  <to>
                    <xdr:col>1</xdr:col>
                    <xdr:colOff>152400</xdr:colOff>
                    <xdr:row>13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8" r:id="rId15" name="Check Box 12">
              <controlPr defaultSize="0" autoFill="0" autoLine="0" autoPict="0">
                <anchor moveWithCells="1">
                  <from>
                    <xdr:col>1</xdr:col>
                    <xdr:colOff>30480</xdr:colOff>
                    <xdr:row>14</xdr:row>
                    <xdr:rowOff>22860</xdr:rowOff>
                  </from>
                  <to>
                    <xdr:col>1</xdr:col>
                    <xdr:colOff>152400</xdr:colOff>
                    <xdr:row>14</xdr:row>
                    <xdr:rowOff>110490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9" r:id="rId16" name="Check Box 13">
              <controlPr defaultSize="0" autoFill="0" autoLine="0" autoPict="0">
                <anchor moveWithCells="1">
                  <from>
                    <xdr:col>1</xdr:col>
                    <xdr:colOff>30480</xdr:colOff>
                    <xdr:row>15</xdr:row>
                    <xdr:rowOff>26670</xdr:rowOff>
                  </from>
                  <to>
                    <xdr:col>1</xdr:col>
                    <xdr:colOff>152400</xdr:colOff>
                    <xdr:row>15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10" r:id="rId17" name="Check Box 14">
              <controlPr defaultSize="0" autoFill="0" autoLine="0" autoPict="0">
                <anchor moveWithCells="1">
                  <from>
                    <xdr:col>1</xdr:col>
                    <xdr:colOff>30480</xdr:colOff>
                    <xdr:row>16</xdr:row>
                    <xdr:rowOff>30480</xdr:rowOff>
                  </from>
                  <to>
                    <xdr:col>1</xdr:col>
                    <xdr:colOff>152400</xdr:colOff>
                    <xdr:row>16</xdr:row>
                    <xdr:rowOff>118110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11" r:id="rId18" name="Check Box 15">
              <controlPr defaultSize="0" autoFill="0" autoLine="0" autoPict="0">
                <anchor moveWithCells="1">
                  <from>
                    <xdr:col>1</xdr:col>
                    <xdr:colOff>30480</xdr:colOff>
                    <xdr:row>17</xdr:row>
                    <xdr:rowOff>22860</xdr:rowOff>
                  </from>
                  <to>
                    <xdr:col>1</xdr:col>
                    <xdr:colOff>152400</xdr:colOff>
                    <xdr:row>17</xdr:row>
                    <xdr:rowOff>110490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12" r:id="rId19" name="Check Box 16">
              <controlPr defaultSize="0" autoFill="0" autoLine="0" autoPict="0">
                <anchor moveWithCells="1">
                  <from>
                    <xdr:col>1</xdr:col>
                    <xdr:colOff>30480</xdr:colOff>
                    <xdr:row>18</xdr:row>
                    <xdr:rowOff>19050</xdr:rowOff>
                  </from>
                  <to>
                    <xdr:col>1</xdr:col>
                    <xdr:colOff>152400</xdr:colOff>
                    <xdr:row>18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13" r:id="rId20" name="Check Box 17">
              <controlPr defaultSize="0" autoFill="0" autoLine="0" autoPict="0">
                <anchor moveWithCells="1">
                  <from>
                    <xdr:col>1</xdr:col>
                    <xdr:colOff>30480</xdr:colOff>
                    <xdr:row>19</xdr:row>
                    <xdr:rowOff>30480</xdr:rowOff>
                  </from>
                  <to>
                    <xdr:col>1</xdr:col>
                    <xdr:colOff>152400</xdr:colOff>
                    <xdr:row>19</xdr:row>
                    <xdr:rowOff>118110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14" r:id="rId21" name="Check Box 18">
              <controlPr defaultSize="0" autoFill="0" autoLine="0" autoPict="0">
                <anchor moveWithCells="1">
                  <from>
                    <xdr:col>1</xdr:col>
                    <xdr:colOff>30480</xdr:colOff>
                    <xdr:row>20</xdr:row>
                    <xdr:rowOff>22860</xdr:rowOff>
                  </from>
                  <to>
                    <xdr:col>1</xdr:col>
                    <xdr:colOff>152400</xdr:colOff>
                    <xdr:row>20</xdr:row>
                    <xdr:rowOff>110490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15" r:id="rId22" name="Check Box 19">
              <controlPr defaultSize="0" autoFill="0" autoLine="0" autoPict="0">
                <anchor moveWithCells="1">
                  <from>
                    <xdr:col>1</xdr:col>
                    <xdr:colOff>30480</xdr:colOff>
                    <xdr:row>21</xdr:row>
                    <xdr:rowOff>22860</xdr:rowOff>
                  </from>
                  <to>
                    <xdr:col>1</xdr:col>
                    <xdr:colOff>152400</xdr:colOff>
                    <xdr:row>21</xdr:row>
                    <xdr:rowOff>110490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16" r:id="rId23" name="Check Box 20">
              <controlPr defaultSize="0" autoFill="0" autoLine="0" autoPict="0">
                <anchor moveWithCells="1">
                  <from>
                    <xdr:col>1</xdr:col>
                    <xdr:colOff>30480</xdr:colOff>
                    <xdr:row>22</xdr:row>
                    <xdr:rowOff>26670</xdr:rowOff>
                  </from>
                  <to>
                    <xdr:col>1</xdr:col>
                    <xdr:colOff>152400</xdr:colOff>
                    <xdr:row>22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17" r:id="rId24" name="Check Box 21">
              <controlPr defaultSize="0" autoFill="0" autoLine="0" autoPict="0">
                <anchor moveWithCells="1">
                  <from>
                    <xdr:col>1</xdr:col>
                    <xdr:colOff>30480</xdr:colOff>
                    <xdr:row>23</xdr:row>
                    <xdr:rowOff>19050</xdr:rowOff>
                  </from>
                  <to>
                    <xdr:col>1</xdr:col>
                    <xdr:colOff>152400</xdr:colOff>
                    <xdr:row>23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18" r:id="rId25" name="Check Box 22">
              <controlPr defaultSize="0" autoFill="0" autoLine="0" autoPict="0">
                <anchor moveWithCells="1">
                  <from>
                    <xdr:col>1</xdr:col>
                    <xdr:colOff>30480</xdr:colOff>
                    <xdr:row>24</xdr:row>
                    <xdr:rowOff>41910</xdr:rowOff>
                  </from>
                  <to>
                    <xdr:col>1</xdr:col>
                    <xdr:colOff>152400</xdr:colOff>
                    <xdr:row>24</xdr:row>
                    <xdr:rowOff>129540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19" r:id="rId26" name="Check Box 23">
              <controlPr defaultSize="0" autoFill="0" autoLine="0" autoPict="0">
                <anchor moveWithCells="1">
                  <from>
                    <xdr:col>1</xdr:col>
                    <xdr:colOff>30480</xdr:colOff>
                    <xdr:row>25</xdr:row>
                    <xdr:rowOff>45720</xdr:rowOff>
                  </from>
                  <to>
                    <xdr:col>1</xdr:col>
                    <xdr:colOff>152400</xdr:colOff>
                    <xdr:row>25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20" r:id="rId27" name="Check Box 24">
              <controlPr defaultSize="0" autoFill="0" autoLine="0" autoPict="0">
                <anchor moveWithCells="1">
                  <from>
                    <xdr:col>1</xdr:col>
                    <xdr:colOff>30480</xdr:colOff>
                    <xdr:row>26</xdr:row>
                    <xdr:rowOff>38100</xdr:rowOff>
                  </from>
                  <to>
                    <xdr:col>1</xdr:col>
                    <xdr:colOff>152400</xdr:colOff>
                    <xdr:row>26</xdr:row>
                    <xdr:rowOff>125730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21" r:id="rId28" name="Check Box 25">
              <controlPr defaultSize="0" autoFill="0" autoLine="0" autoPict="0">
                <anchor moveWithCells="1">
                  <from>
                    <xdr:col>1</xdr:col>
                    <xdr:colOff>30480</xdr:colOff>
                    <xdr:row>27</xdr:row>
                    <xdr:rowOff>41910</xdr:rowOff>
                  </from>
                  <to>
                    <xdr:col>1</xdr:col>
                    <xdr:colOff>152400</xdr:colOff>
                    <xdr:row>27</xdr:row>
                    <xdr:rowOff>129540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7"/>
  <sheetViews>
    <sheetView showGridLines="0" workbookViewId="0">
      <selection activeCell="A38" sqref="A38"/>
    </sheetView>
  </sheetViews>
  <sheetFormatPr defaultRowHeight="12.3" x14ac:dyDescent="0.4"/>
  <cols>
    <col min="1" max="1" width="106" style="113" customWidth="1"/>
    <col min="2" max="2" width="6.44140625" customWidth="1"/>
    <col min="3" max="3" width="4.83203125" style="117" customWidth="1"/>
    <col min="4" max="4" width="14.5546875" style="116" hidden="1" customWidth="1"/>
  </cols>
  <sheetData>
    <row r="1" spans="1:4" ht="17.399999999999999" x14ac:dyDescent="0.4">
      <c r="A1" s="248" t="s">
        <v>505</v>
      </c>
      <c r="B1" s="249"/>
      <c r="C1" s="249"/>
    </row>
    <row r="2" spans="1:4" ht="33.75" customHeight="1" x14ac:dyDescent="0.4">
      <c r="A2" s="250" t="s">
        <v>226</v>
      </c>
      <c r="B2" s="250"/>
      <c r="C2" s="250"/>
    </row>
    <row r="3" spans="1:4" ht="6" customHeight="1" x14ac:dyDescent="0.4"/>
    <row r="4" spans="1:4" ht="24.75" customHeight="1" x14ac:dyDescent="0.4">
      <c r="A4" s="121" t="s">
        <v>506</v>
      </c>
      <c r="C4" s="117" t="str">
        <f>IF(D4, "Sim", "")</f>
        <v/>
      </c>
      <c r="D4" s="116" t="b">
        <v>0</v>
      </c>
    </row>
    <row r="5" spans="1:4" ht="27.6" customHeight="1" x14ac:dyDescent="0.4">
      <c r="A5" s="114" t="s">
        <v>507</v>
      </c>
      <c r="C5" s="117" t="str">
        <f t="shared" ref="C5:C28" si="0">IF(D5, "Sim", "")</f>
        <v/>
      </c>
      <c r="D5" s="116" t="b">
        <v>0</v>
      </c>
    </row>
    <row r="6" spans="1:4" ht="27.6" customHeight="1" x14ac:dyDescent="0.4">
      <c r="A6" s="121" t="s">
        <v>508</v>
      </c>
      <c r="C6" s="117" t="str">
        <f t="shared" si="0"/>
        <v/>
      </c>
      <c r="D6" s="116" t="b">
        <v>0</v>
      </c>
    </row>
    <row r="7" spans="1:4" ht="31.5" customHeight="1" x14ac:dyDescent="0.4">
      <c r="A7" s="114" t="s">
        <v>509</v>
      </c>
      <c r="C7" s="117" t="str">
        <f t="shared" si="0"/>
        <v/>
      </c>
      <c r="D7" s="116" t="b">
        <v>0</v>
      </c>
    </row>
    <row r="8" spans="1:4" ht="27.6" customHeight="1" x14ac:dyDescent="0.4">
      <c r="A8" s="121" t="s">
        <v>485</v>
      </c>
      <c r="C8" s="117" t="str">
        <f t="shared" si="0"/>
        <v/>
      </c>
      <c r="D8" s="116" t="b">
        <v>0</v>
      </c>
    </row>
    <row r="9" spans="1:4" ht="27.6" customHeight="1" x14ac:dyDescent="0.4">
      <c r="A9" s="114" t="s">
        <v>486</v>
      </c>
      <c r="C9" s="117" t="str">
        <f t="shared" si="0"/>
        <v/>
      </c>
      <c r="D9" s="116" t="b">
        <v>0</v>
      </c>
    </row>
    <row r="10" spans="1:4" ht="27.6" customHeight="1" x14ac:dyDescent="0.4">
      <c r="A10" s="121" t="s">
        <v>487</v>
      </c>
      <c r="C10" s="117" t="str">
        <f t="shared" si="0"/>
        <v/>
      </c>
      <c r="D10" s="116" t="b">
        <v>0</v>
      </c>
    </row>
    <row r="11" spans="1:4" ht="27.6" customHeight="1" x14ac:dyDescent="0.4">
      <c r="A11" s="114" t="s">
        <v>488</v>
      </c>
      <c r="C11" s="117" t="str">
        <f t="shared" si="0"/>
        <v/>
      </c>
      <c r="D11" s="116" t="b">
        <v>0</v>
      </c>
    </row>
    <row r="12" spans="1:4" ht="27.6" customHeight="1" x14ac:dyDescent="0.4">
      <c r="A12" s="121" t="s">
        <v>510</v>
      </c>
      <c r="C12" s="117" t="str">
        <f t="shared" si="0"/>
        <v/>
      </c>
      <c r="D12" s="116" t="b">
        <v>0</v>
      </c>
    </row>
    <row r="13" spans="1:4" ht="27.6" customHeight="1" x14ac:dyDescent="0.4">
      <c r="A13" s="114" t="s">
        <v>490</v>
      </c>
      <c r="C13" s="117" t="str">
        <f t="shared" si="0"/>
        <v/>
      </c>
      <c r="D13" s="116" t="b">
        <v>0</v>
      </c>
    </row>
    <row r="14" spans="1:4" ht="27.6" customHeight="1" x14ac:dyDescent="0.4">
      <c r="A14" s="121" t="s">
        <v>491</v>
      </c>
      <c r="C14" s="117" t="str">
        <f t="shared" si="0"/>
        <v/>
      </c>
      <c r="D14" s="116" t="b">
        <v>0</v>
      </c>
    </row>
    <row r="15" spans="1:4" ht="27.6" customHeight="1" x14ac:dyDescent="0.4">
      <c r="A15" s="114" t="s">
        <v>492</v>
      </c>
      <c r="C15" s="117" t="str">
        <f t="shared" si="0"/>
        <v/>
      </c>
      <c r="D15" s="116" t="b">
        <v>0</v>
      </c>
    </row>
    <row r="16" spans="1:4" ht="27.6" customHeight="1" x14ac:dyDescent="0.4">
      <c r="A16" s="121" t="s">
        <v>493</v>
      </c>
      <c r="C16" s="117" t="str">
        <f t="shared" si="0"/>
        <v/>
      </c>
      <c r="D16" s="116" t="b">
        <v>0</v>
      </c>
    </row>
    <row r="17" spans="1:6" ht="32.25" customHeight="1" x14ac:dyDescent="0.4">
      <c r="A17" s="114" t="s">
        <v>511</v>
      </c>
      <c r="C17" s="117" t="str">
        <f t="shared" si="0"/>
        <v/>
      </c>
      <c r="D17" s="116" t="b">
        <v>0</v>
      </c>
    </row>
    <row r="18" spans="1:6" ht="27.6" customHeight="1" x14ac:dyDescent="0.4">
      <c r="A18" s="121" t="s">
        <v>512</v>
      </c>
      <c r="C18" s="117" t="str">
        <f t="shared" si="0"/>
        <v/>
      </c>
      <c r="D18" s="116" t="b">
        <v>0</v>
      </c>
    </row>
    <row r="19" spans="1:6" ht="27.6" customHeight="1" x14ac:dyDescent="0.4">
      <c r="A19" s="114" t="s">
        <v>513</v>
      </c>
      <c r="C19" s="117" t="str">
        <f t="shared" si="0"/>
        <v/>
      </c>
      <c r="D19" s="116" t="b">
        <v>0</v>
      </c>
    </row>
    <row r="20" spans="1:6" ht="31.5" customHeight="1" x14ac:dyDescent="0.4">
      <c r="A20" s="121" t="s">
        <v>497</v>
      </c>
      <c r="C20" s="117" t="str">
        <f t="shared" si="0"/>
        <v/>
      </c>
      <c r="D20" s="116" t="b">
        <v>0</v>
      </c>
    </row>
    <row r="21" spans="1:6" ht="27.6" customHeight="1" x14ac:dyDescent="0.4">
      <c r="A21" s="114" t="s">
        <v>498</v>
      </c>
      <c r="C21" s="117" t="str">
        <f t="shared" si="0"/>
        <v/>
      </c>
      <c r="D21" s="116" t="b">
        <v>0</v>
      </c>
    </row>
    <row r="22" spans="1:6" ht="27.6" customHeight="1" x14ac:dyDescent="0.4">
      <c r="A22" s="121" t="s">
        <v>514</v>
      </c>
      <c r="C22" s="117" t="str">
        <f t="shared" si="0"/>
        <v/>
      </c>
      <c r="D22" s="116" t="b">
        <v>0</v>
      </c>
    </row>
    <row r="23" spans="1:6" ht="27.6" customHeight="1" x14ac:dyDescent="0.4">
      <c r="A23" s="114" t="s">
        <v>515</v>
      </c>
      <c r="C23" s="117" t="str">
        <f t="shared" si="0"/>
        <v/>
      </c>
      <c r="D23" s="116" t="b">
        <v>0</v>
      </c>
    </row>
    <row r="24" spans="1:6" ht="27.6" customHeight="1" x14ac:dyDescent="0.4">
      <c r="A24" s="121" t="s">
        <v>516</v>
      </c>
      <c r="C24" s="117" t="str">
        <f t="shared" si="0"/>
        <v/>
      </c>
      <c r="D24" s="116" t="b">
        <v>0</v>
      </c>
    </row>
    <row r="25" spans="1:6" ht="30.75" customHeight="1" x14ac:dyDescent="0.4">
      <c r="A25" s="114" t="s">
        <v>517</v>
      </c>
      <c r="C25" s="117" t="str">
        <f t="shared" si="0"/>
        <v/>
      </c>
      <c r="D25" s="116" t="b">
        <v>0</v>
      </c>
    </row>
    <row r="26" spans="1:6" ht="33.75" customHeight="1" x14ac:dyDescent="0.4">
      <c r="A26" s="121" t="s">
        <v>518</v>
      </c>
      <c r="C26" s="117" t="str">
        <f t="shared" si="0"/>
        <v/>
      </c>
      <c r="D26" s="116" t="b">
        <v>0</v>
      </c>
    </row>
    <row r="27" spans="1:6" ht="32.25" customHeight="1" x14ac:dyDescent="0.4">
      <c r="A27" s="114" t="s">
        <v>519</v>
      </c>
      <c r="C27" s="117" t="str">
        <f t="shared" si="0"/>
        <v/>
      </c>
      <c r="D27" s="116" t="b">
        <v>0</v>
      </c>
    </row>
    <row r="28" spans="1:6" ht="33" customHeight="1" x14ac:dyDescent="0.4">
      <c r="A28" s="121" t="s">
        <v>504</v>
      </c>
      <c r="C28" s="117" t="str">
        <f t="shared" si="0"/>
        <v/>
      </c>
      <c r="D28" s="116" t="b">
        <v>0</v>
      </c>
    </row>
    <row r="29" spans="1:6" ht="12.6" thickBot="1" x14ac:dyDescent="0.45"/>
    <row r="30" spans="1:6" ht="29.1" thickBot="1" x14ac:dyDescent="0.6">
      <c r="A30" s="112" t="s">
        <v>520</v>
      </c>
      <c r="B30" s="119" t="s">
        <v>229</v>
      </c>
      <c r="C30" s="120">
        <f>F30</f>
        <v>0</v>
      </c>
      <c r="E30" s="178" t="s">
        <v>227</v>
      </c>
      <c r="F30" s="69">
        <f>COUNTIF(C4:C28, "sim")</f>
        <v>0</v>
      </c>
    </row>
    <row r="31" spans="1:6" x14ac:dyDescent="0.4">
      <c r="E31" s="179" t="s">
        <v>228</v>
      </c>
      <c r="F31" s="179">
        <f>25-F30</f>
        <v>25</v>
      </c>
    </row>
    <row r="37" spans="2:2" x14ac:dyDescent="0.4">
      <c r="B37" s="115"/>
    </row>
  </sheetData>
  <sheetProtection password="CFC0" sheet="1" objects="1" scenarios="1"/>
  <mergeCells count="2">
    <mergeCell ref="A1:C1"/>
    <mergeCell ref="A2:C2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21" r:id="rId4" name="Check Box 1">
              <controlPr defaultSize="0" autoFill="0" autoLine="0" autoPict="0">
                <anchor moveWithCells="1">
                  <from>
                    <xdr:col>1</xdr:col>
                    <xdr:colOff>30480</xdr:colOff>
                    <xdr:row>3</xdr:row>
                    <xdr:rowOff>19050</xdr:rowOff>
                  </from>
                  <to>
                    <xdr:col>1</xdr:col>
                    <xdr:colOff>152400</xdr:colOff>
                    <xdr:row>3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2" r:id="rId5" name="Check Box 2">
              <controlPr defaultSize="0" autoFill="0" autoLine="0" autoPict="0">
                <anchor moveWithCells="1">
                  <from>
                    <xdr:col>1</xdr:col>
                    <xdr:colOff>30480</xdr:colOff>
                    <xdr:row>4</xdr:row>
                    <xdr:rowOff>19050</xdr:rowOff>
                  </from>
                  <to>
                    <xdr:col>1</xdr:col>
                    <xdr:colOff>152400</xdr:colOff>
                    <xdr:row>4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3" r:id="rId6" name="Check Box 3">
              <controlPr defaultSize="0" autoFill="0" autoLine="0" autoPict="0">
                <anchor moveWithCells="1">
                  <from>
                    <xdr:col>1</xdr:col>
                    <xdr:colOff>30480</xdr:colOff>
                    <xdr:row>5</xdr:row>
                    <xdr:rowOff>19050</xdr:rowOff>
                  </from>
                  <to>
                    <xdr:col>1</xdr:col>
                    <xdr:colOff>152400</xdr:colOff>
                    <xdr:row>5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4" r:id="rId7" name="Check Box 4">
              <controlPr defaultSize="0" autoFill="0" autoLine="0" autoPict="0">
                <anchor moveWithCells="1">
                  <from>
                    <xdr:col>1</xdr:col>
                    <xdr:colOff>30480</xdr:colOff>
                    <xdr:row>6</xdr:row>
                    <xdr:rowOff>19050</xdr:rowOff>
                  </from>
                  <to>
                    <xdr:col>1</xdr:col>
                    <xdr:colOff>152400</xdr:colOff>
                    <xdr:row>6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5" r:id="rId8" name="Check Box 5">
              <controlPr defaultSize="0" autoFill="0" autoLine="0" autoPict="0">
                <anchor moveWithCells="1">
                  <from>
                    <xdr:col>1</xdr:col>
                    <xdr:colOff>30480</xdr:colOff>
                    <xdr:row>7</xdr:row>
                    <xdr:rowOff>19050</xdr:rowOff>
                  </from>
                  <to>
                    <xdr:col>1</xdr:col>
                    <xdr:colOff>152400</xdr:colOff>
                    <xdr:row>7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6" r:id="rId9" name="Check Box 6">
              <controlPr defaultSize="0" autoFill="0" autoLine="0" autoPict="0">
                <anchor moveWithCells="1">
                  <from>
                    <xdr:col>1</xdr:col>
                    <xdr:colOff>30480</xdr:colOff>
                    <xdr:row>8</xdr:row>
                    <xdr:rowOff>19050</xdr:rowOff>
                  </from>
                  <to>
                    <xdr:col>1</xdr:col>
                    <xdr:colOff>152400</xdr:colOff>
                    <xdr:row>8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7" r:id="rId10" name="Check Box 7">
              <controlPr defaultSize="0" autoFill="0" autoLine="0" autoPict="0">
                <anchor moveWithCells="1">
                  <from>
                    <xdr:col>1</xdr:col>
                    <xdr:colOff>30480</xdr:colOff>
                    <xdr:row>9</xdr:row>
                    <xdr:rowOff>26670</xdr:rowOff>
                  </from>
                  <to>
                    <xdr:col>1</xdr:col>
                    <xdr:colOff>152400</xdr:colOff>
                    <xdr:row>9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8" r:id="rId11" name="Check Box 8">
              <controlPr defaultSize="0" autoFill="0" autoLine="0" autoPict="0">
                <anchor moveWithCells="1">
                  <from>
                    <xdr:col>1</xdr:col>
                    <xdr:colOff>30480</xdr:colOff>
                    <xdr:row>10</xdr:row>
                    <xdr:rowOff>22860</xdr:rowOff>
                  </from>
                  <to>
                    <xdr:col>1</xdr:col>
                    <xdr:colOff>152400</xdr:colOff>
                    <xdr:row>10</xdr:row>
                    <xdr:rowOff>110490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9" r:id="rId12" name="Check Box 9">
              <controlPr defaultSize="0" autoFill="0" autoLine="0" autoPict="0">
                <anchor moveWithCells="1">
                  <from>
                    <xdr:col>1</xdr:col>
                    <xdr:colOff>30480</xdr:colOff>
                    <xdr:row>11</xdr:row>
                    <xdr:rowOff>19050</xdr:rowOff>
                  </from>
                  <to>
                    <xdr:col>1</xdr:col>
                    <xdr:colOff>152400</xdr:colOff>
                    <xdr:row>11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30" r:id="rId13" name="Check Box 10">
              <controlPr defaultSize="0" autoFill="0" autoLine="0" autoPict="0">
                <anchor moveWithCells="1">
                  <from>
                    <xdr:col>1</xdr:col>
                    <xdr:colOff>30480</xdr:colOff>
                    <xdr:row>12</xdr:row>
                    <xdr:rowOff>30480</xdr:rowOff>
                  </from>
                  <to>
                    <xdr:col>1</xdr:col>
                    <xdr:colOff>152400</xdr:colOff>
                    <xdr:row>12</xdr:row>
                    <xdr:rowOff>118110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31" r:id="rId14" name="Check Box 11">
              <controlPr defaultSize="0" autoFill="0" autoLine="0" autoPict="0">
                <anchor moveWithCells="1">
                  <from>
                    <xdr:col>1</xdr:col>
                    <xdr:colOff>30480</xdr:colOff>
                    <xdr:row>13</xdr:row>
                    <xdr:rowOff>19050</xdr:rowOff>
                  </from>
                  <to>
                    <xdr:col>1</xdr:col>
                    <xdr:colOff>152400</xdr:colOff>
                    <xdr:row>13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32" r:id="rId15" name="Check Box 12">
              <controlPr defaultSize="0" autoFill="0" autoLine="0" autoPict="0">
                <anchor moveWithCells="1">
                  <from>
                    <xdr:col>1</xdr:col>
                    <xdr:colOff>30480</xdr:colOff>
                    <xdr:row>14</xdr:row>
                    <xdr:rowOff>22860</xdr:rowOff>
                  </from>
                  <to>
                    <xdr:col>1</xdr:col>
                    <xdr:colOff>152400</xdr:colOff>
                    <xdr:row>14</xdr:row>
                    <xdr:rowOff>110490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33" r:id="rId16" name="Check Box 13">
              <controlPr defaultSize="0" autoFill="0" autoLine="0" autoPict="0">
                <anchor moveWithCells="1">
                  <from>
                    <xdr:col>1</xdr:col>
                    <xdr:colOff>30480</xdr:colOff>
                    <xdr:row>15</xdr:row>
                    <xdr:rowOff>26670</xdr:rowOff>
                  </from>
                  <to>
                    <xdr:col>1</xdr:col>
                    <xdr:colOff>152400</xdr:colOff>
                    <xdr:row>15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34" r:id="rId17" name="Check Box 14">
              <controlPr defaultSize="0" autoFill="0" autoLine="0" autoPict="0">
                <anchor moveWithCells="1">
                  <from>
                    <xdr:col>1</xdr:col>
                    <xdr:colOff>30480</xdr:colOff>
                    <xdr:row>16</xdr:row>
                    <xdr:rowOff>30480</xdr:rowOff>
                  </from>
                  <to>
                    <xdr:col>1</xdr:col>
                    <xdr:colOff>152400</xdr:colOff>
                    <xdr:row>16</xdr:row>
                    <xdr:rowOff>118110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35" r:id="rId18" name="Check Box 15">
              <controlPr defaultSize="0" autoFill="0" autoLine="0" autoPict="0">
                <anchor moveWithCells="1">
                  <from>
                    <xdr:col>1</xdr:col>
                    <xdr:colOff>30480</xdr:colOff>
                    <xdr:row>17</xdr:row>
                    <xdr:rowOff>22860</xdr:rowOff>
                  </from>
                  <to>
                    <xdr:col>1</xdr:col>
                    <xdr:colOff>152400</xdr:colOff>
                    <xdr:row>17</xdr:row>
                    <xdr:rowOff>110490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36" r:id="rId19" name="Check Box 16">
              <controlPr defaultSize="0" autoFill="0" autoLine="0" autoPict="0">
                <anchor moveWithCells="1">
                  <from>
                    <xdr:col>1</xdr:col>
                    <xdr:colOff>30480</xdr:colOff>
                    <xdr:row>18</xdr:row>
                    <xdr:rowOff>19050</xdr:rowOff>
                  </from>
                  <to>
                    <xdr:col>1</xdr:col>
                    <xdr:colOff>152400</xdr:colOff>
                    <xdr:row>18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37" r:id="rId20" name="Check Box 17">
              <controlPr defaultSize="0" autoFill="0" autoLine="0" autoPict="0">
                <anchor moveWithCells="1">
                  <from>
                    <xdr:col>1</xdr:col>
                    <xdr:colOff>30480</xdr:colOff>
                    <xdr:row>19</xdr:row>
                    <xdr:rowOff>30480</xdr:rowOff>
                  </from>
                  <to>
                    <xdr:col>1</xdr:col>
                    <xdr:colOff>152400</xdr:colOff>
                    <xdr:row>19</xdr:row>
                    <xdr:rowOff>118110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38" r:id="rId21" name="Check Box 18">
              <controlPr defaultSize="0" autoFill="0" autoLine="0" autoPict="0">
                <anchor moveWithCells="1">
                  <from>
                    <xdr:col>1</xdr:col>
                    <xdr:colOff>30480</xdr:colOff>
                    <xdr:row>20</xdr:row>
                    <xdr:rowOff>22860</xdr:rowOff>
                  </from>
                  <to>
                    <xdr:col>1</xdr:col>
                    <xdr:colOff>152400</xdr:colOff>
                    <xdr:row>20</xdr:row>
                    <xdr:rowOff>110490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39" r:id="rId22" name="Check Box 19">
              <controlPr defaultSize="0" autoFill="0" autoLine="0" autoPict="0">
                <anchor moveWithCells="1">
                  <from>
                    <xdr:col>1</xdr:col>
                    <xdr:colOff>30480</xdr:colOff>
                    <xdr:row>21</xdr:row>
                    <xdr:rowOff>22860</xdr:rowOff>
                  </from>
                  <to>
                    <xdr:col>1</xdr:col>
                    <xdr:colOff>152400</xdr:colOff>
                    <xdr:row>21</xdr:row>
                    <xdr:rowOff>110490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0" r:id="rId23" name="Check Box 20">
              <controlPr defaultSize="0" autoFill="0" autoLine="0" autoPict="0">
                <anchor moveWithCells="1">
                  <from>
                    <xdr:col>1</xdr:col>
                    <xdr:colOff>30480</xdr:colOff>
                    <xdr:row>22</xdr:row>
                    <xdr:rowOff>26670</xdr:rowOff>
                  </from>
                  <to>
                    <xdr:col>1</xdr:col>
                    <xdr:colOff>152400</xdr:colOff>
                    <xdr:row>22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1" r:id="rId24" name="Check Box 21">
              <controlPr defaultSize="0" autoFill="0" autoLine="0" autoPict="0">
                <anchor moveWithCells="1">
                  <from>
                    <xdr:col>1</xdr:col>
                    <xdr:colOff>30480</xdr:colOff>
                    <xdr:row>23</xdr:row>
                    <xdr:rowOff>19050</xdr:rowOff>
                  </from>
                  <to>
                    <xdr:col>1</xdr:col>
                    <xdr:colOff>152400</xdr:colOff>
                    <xdr:row>23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2" r:id="rId25" name="Check Box 22">
              <controlPr defaultSize="0" autoFill="0" autoLine="0" autoPict="0">
                <anchor moveWithCells="1">
                  <from>
                    <xdr:col>1</xdr:col>
                    <xdr:colOff>30480</xdr:colOff>
                    <xdr:row>24</xdr:row>
                    <xdr:rowOff>41910</xdr:rowOff>
                  </from>
                  <to>
                    <xdr:col>1</xdr:col>
                    <xdr:colOff>152400</xdr:colOff>
                    <xdr:row>24</xdr:row>
                    <xdr:rowOff>129540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3" r:id="rId26" name="Check Box 23">
              <controlPr defaultSize="0" autoFill="0" autoLine="0" autoPict="0">
                <anchor moveWithCells="1">
                  <from>
                    <xdr:col>1</xdr:col>
                    <xdr:colOff>30480</xdr:colOff>
                    <xdr:row>25</xdr:row>
                    <xdr:rowOff>45720</xdr:rowOff>
                  </from>
                  <to>
                    <xdr:col>1</xdr:col>
                    <xdr:colOff>152400</xdr:colOff>
                    <xdr:row>25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4" r:id="rId27" name="Check Box 24">
              <controlPr defaultSize="0" autoFill="0" autoLine="0" autoPict="0">
                <anchor moveWithCells="1">
                  <from>
                    <xdr:col>1</xdr:col>
                    <xdr:colOff>30480</xdr:colOff>
                    <xdr:row>26</xdr:row>
                    <xdr:rowOff>38100</xdr:rowOff>
                  </from>
                  <to>
                    <xdr:col>1</xdr:col>
                    <xdr:colOff>152400</xdr:colOff>
                    <xdr:row>26</xdr:row>
                    <xdr:rowOff>125730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5" r:id="rId28" name="Check Box 25">
              <controlPr defaultSize="0" autoFill="0" autoLine="0" autoPict="0">
                <anchor moveWithCells="1">
                  <from>
                    <xdr:col>1</xdr:col>
                    <xdr:colOff>30480</xdr:colOff>
                    <xdr:row>27</xdr:row>
                    <xdr:rowOff>41910</xdr:rowOff>
                  </from>
                  <to>
                    <xdr:col>1</xdr:col>
                    <xdr:colOff>152400</xdr:colOff>
                    <xdr:row>27</xdr:row>
                    <xdr:rowOff>129540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36"/>
  <sheetViews>
    <sheetView showGridLines="0" workbookViewId="0">
      <pane ySplit="3" topLeftCell="A4" activePane="bottomLeft" state="frozen"/>
      <selection pane="bottomLeft" activeCell="G12" sqref="G12"/>
    </sheetView>
  </sheetViews>
  <sheetFormatPr defaultRowHeight="12.3" x14ac:dyDescent="0.4"/>
  <cols>
    <col min="2" max="2" width="7.71875" customWidth="1"/>
    <col min="3" max="3" width="12.71875" style="2" customWidth="1"/>
    <col min="4" max="4" width="30.1640625" style="2" customWidth="1"/>
    <col min="5" max="5" width="12.71875" style="2" customWidth="1"/>
    <col min="6" max="6" width="3.1640625" customWidth="1"/>
    <col min="7" max="7" width="17.44140625" style="66" customWidth="1"/>
    <col min="9" max="11" width="0" style="35" hidden="1" customWidth="1"/>
  </cols>
  <sheetData>
    <row r="1" spans="2:11" ht="17.7" x14ac:dyDescent="0.4">
      <c r="B1" s="216" t="s">
        <v>521</v>
      </c>
      <c r="C1" s="216"/>
      <c r="D1" s="216"/>
      <c r="E1" s="216"/>
      <c r="F1" s="216"/>
      <c r="G1" s="216"/>
    </row>
    <row r="2" spans="2:11" ht="4.5" customHeight="1" x14ac:dyDescent="0.4"/>
    <row r="3" spans="2:11" s="125" customFormat="1" ht="15" x14ac:dyDescent="0.5">
      <c r="B3" s="123" t="s">
        <v>258</v>
      </c>
      <c r="C3" s="122" t="s">
        <v>209</v>
      </c>
      <c r="D3" s="126" t="s">
        <v>211</v>
      </c>
      <c r="E3" s="124" t="s">
        <v>210</v>
      </c>
      <c r="G3" s="131" t="s">
        <v>256</v>
      </c>
      <c r="I3" s="180"/>
      <c r="J3" s="180"/>
      <c r="K3" s="180"/>
    </row>
    <row r="4" spans="2:11" ht="14.4" x14ac:dyDescent="0.4">
      <c r="C4" s="127" t="str">
        <f>'Autenticidade Afetiva Homem'!C4</f>
        <v/>
      </c>
      <c r="D4" s="128" t="s">
        <v>254</v>
      </c>
      <c r="E4" s="127" t="str">
        <f>'Autenticidade Afetiva Mulher'!C4</f>
        <v/>
      </c>
      <c r="G4" s="66" t="str">
        <f>IF(K4=2, "Convergência", " ")</f>
        <v xml:space="preserve"> </v>
      </c>
      <c r="I4" s="35" t="str">
        <f>IF(C4="sim", "1", "0")</f>
        <v>0</v>
      </c>
      <c r="J4" s="35" t="str">
        <f>IF(E4="sim", "1", "0")</f>
        <v>0</v>
      </c>
      <c r="K4" s="35">
        <f>COUNTIF(I4:J4, "1")</f>
        <v>0</v>
      </c>
    </row>
    <row r="5" spans="2:11" ht="14.4" x14ac:dyDescent="0.4">
      <c r="B5" s="2">
        <v>1</v>
      </c>
      <c r="C5" s="127" t="str">
        <f>'Autenticidade Afetiva Homem'!C5</f>
        <v/>
      </c>
      <c r="D5" s="128" t="s">
        <v>230</v>
      </c>
      <c r="E5" s="127" t="str">
        <f>'Autenticidade Afetiva Mulher'!C5</f>
        <v/>
      </c>
      <c r="G5" s="66" t="str">
        <f t="shared" ref="G5:G28" si="0">IF(K5=2, "Convergência", " ")</f>
        <v xml:space="preserve"> </v>
      </c>
      <c r="I5" s="35" t="str">
        <f t="shared" ref="I5:I28" si="1">IF(C5="sim", "1", "0")</f>
        <v>0</v>
      </c>
      <c r="J5" s="35" t="str">
        <f t="shared" ref="J5:J28" si="2">IF(E5="sim", "1", "0")</f>
        <v>0</v>
      </c>
      <c r="K5" s="35">
        <f t="shared" ref="K5:K28" si="3">COUNTIF(I5:J5, "1")</f>
        <v>0</v>
      </c>
    </row>
    <row r="6" spans="2:11" ht="14.4" x14ac:dyDescent="0.4">
      <c r="B6" s="2">
        <v>2</v>
      </c>
      <c r="C6" s="127" t="str">
        <f>'Autenticidade Afetiva Homem'!C6</f>
        <v/>
      </c>
      <c r="D6" s="128" t="s">
        <v>231</v>
      </c>
      <c r="E6" s="127" t="str">
        <f>'Autenticidade Afetiva Mulher'!C6</f>
        <v/>
      </c>
      <c r="G6" s="66" t="str">
        <f t="shared" si="0"/>
        <v xml:space="preserve"> </v>
      </c>
      <c r="I6" s="35" t="str">
        <f t="shared" si="1"/>
        <v>0</v>
      </c>
      <c r="J6" s="35" t="str">
        <f t="shared" si="2"/>
        <v>0</v>
      </c>
      <c r="K6" s="35">
        <f t="shared" si="3"/>
        <v>0</v>
      </c>
    </row>
    <row r="7" spans="2:11" ht="14.4" x14ac:dyDescent="0.4">
      <c r="B7" s="2">
        <v>3</v>
      </c>
      <c r="C7" s="127" t="str">
        <f>'Autenticidade Afetiva Homem'!C7</f>
        <v/>
      </c>
      <c r="D7" s="128" t="s">
        <v>232</v>
      </c>
      <c r="E7" s="127" t="str">
        <f>'Autenticidade Afetiva Mulher'!C7</f>
        <v/>
      </c>
      <c r="G7" s="66" t="str">
        <f t="shared" si="0"/>
        <v xml:space="preserve"> </v>
      </c>
      <c r="I7" s="35" t="str">
        <f t="shared" si="1"/>
        <v>0</v>
      </c>
      <c r="J7" s="35" t="str">
        <f t="shared" si="2"/>
        <v>0</v>
      </c>
      <c r="K7" s="35">
        <f t="shared" si="3"/>
        <v>0</v>
      </c>
    </row>
    <row r="8" spans="2:11" ht="14.4" x14ac:dyDescent="0.4">
      <c r="B8" s="2">
        <v>4</v>
      </c>
      <c r="C8" s="127" t="str">
        <f>'Autenticidade Afetiva Homem'!C8</f>
        <v/>
      </c>
      <c r="D8" s="128" t="s">
        <v>233</v>
      </c>
      <c r="E8" s="127" t="str">
        <f>'Autenticidade Afetiva Mulher'!C8</f>
        <v/>
      </c>
      <c r="G8" s="66" t="str">
        <f t="shared" si="0"/>
        <v xml:space="preserve"> </v>
      </c>
      <c r="I8" s="35" t="str">
        <f t="shared" si="1"/>
        <v>0</v>
      </c>
      <c r="J8" s="35" t="str">
        <f t="shared" si="2"/>
        <v>0</v>
      </c>
      <c r="K8" s="35">
        <f t="shared" si="3"/>
        <v>0</v>
      </c>
    </row>
    <row r="9" spans="2:11" ht="14.4" x14ac:dyDescent="0.4">
      <c r="B9" s="2">
        <v>5</v>
      </c>
      <c r="C9" s="127" t="str">
        <f>'Autenticidade Afetiva Homem'!C9</f>
        <v/>
      </c>
      <c r="D9" s="128" t="s">
        <v>234</v>
      </c>
      <c r="E9" s="127" t="str">
        <f>'Autenticidade Afetiva Mulher'!C9</f>
        <v/>
      </c>
      <c r="G9" s="66" t="str">
        <f t="shared" si="0"/>
        <v xml:space="preserve"> </v>
      </c>
      <c r="I9" s="35" t="str">
        <f t="shared" si="1"/>
        <v>0</v>
      </c>
      <c r="J9" s="35" t="str">
        <f t="shared" si="2"/>
        <v>0</v>
      </c>
      <c r="K9" s="35">
        <f t="shared" si="3"/>
        <v>0</v>
      </c>
    </row>
    <row r="10" spans="2:11" ht="14.4" x14ac:dyDescent="0.4">
      <c r="B10" s="2">
        <v>6</v>
      </c>
      <c r="C10" s="127" t="str">
        <f>'Autenticidade Afetiva Homem'!C10</f>
        <v/>
      </c>
      <c r="D10" s="128" t="s">
        <v>235</v>
      </c>
      <c r="E10" s="127" t="str">
        <f>'Autenticidade Afetiva Mulher'!C10</f>
        <v/>
      </c>
      <c r="G10" s="66" t="str">
        <f t="shared" si="0"/>
        <v xml:space="preserve"> </v>
      </c>
      <c r="I10" s="35" t="str">
        <f t="shared" si="1"/>
        <v>0</v>
      </c>
      <c r="J10" s="35" t="str">
        <f t="shared" si="2"/>
        <v>0</v>
      </c>
      <c r="K10" s="35">
        <f t="shared" si="3"/>
        <v>0</v>
      </c>
    </row>
    <row r="11" spans="2:11" ht="14.4" x14ac:dyDescent="0.4">
      <c r="B11" s="2">
        <v>7</v>
      </c>
      <c r="C11" s="127" t="str">
        <f>'Autenticidade Afetiva Homem'!C11</f>
        <v/>
      </c>
      <c r="D11" s="128" t="s">
        <v>236</v>
      </c>
      <c r="E11" s="127" t="str">
        <f>'Autenticidade Afetiva Mulher'!C11</f>
        <v/>
      </c>
      <c r="G11" s="66" t="str">
        <f t="shared" si="0"/>
        <v xml:space="preserve"> </v>
      </c>
      <c r="I11" s="35" t="str">
        <f t="shared" si="1"/>
        <v>0</v>
      </c>
      <c r="J11" s="35" t="str">
        <f t="shared" si="2"/>
        <v>0</v>
      </c>
      <c r="K11" s="35">
        <f t="shared" si="3"/>
        <v>0</v>
      </c>
    </row>
    <row r="12" spans="2:11" ht="14.4" x14ac:dyDescent="0.4">
      <c r="B12" s="2">
        <v>8</v>
      </c>
      <c r="C12" s="127" t="str">
        <f>'Autenticidade Afetiva Homem'!C12</f>
        <v/>
      </c>
      <c r="D12" s="128" t="s">
        <v>237</v>
      </c>
      <c r="E12" s="127" t="str">
        <f>'Autenticidade Afetiva Mulher'!C12</f>
        <v/>
      </c>
      <c r="G12" s="66" t="str">
        <f t="shared" si="0"/>
        <v xml:space="preserve"> </v>
      </c>
      <c r="I12" s="35" t="str">
        <f t="shared" si="1"/>
        <v>0</v>
      </c>
      <c r="J12" s="35" t="str">
        <f t="shared" si="2"/>
        <v>0</v>
      </c>
      <c r="K12" s="35">
        <f t="shared" si="3"/>
        <v>0</v>
      </c>
    </row>
    <row r="13" spans="2:11" ht="14.4" x14ac:dyDescent="0.4">
      <c r="B13" s="2">
        <v>9</v>
      </c>
      <c r="C13" s="127" t="str">
        <f>'Autenticidade Afetiva Homem'!C13</f>
        <v/>
      </c>
      <c r="D13" s="128" t="s">
        <v>238</v>
      </c>
      <c r="E13" s="127" t="str">
        <f>'Autenticidade Afetiva Mulher'!C13</f>
        <v/>
      </c>
      <c r="G13" s="66" t="str">
        <f t="shared" si="0"/>
        <v xml:space="preserve"> </v>
      </c>
      <c r="I13" s="35" t="str">
        <f t="shared" si="1"/>
        <v>0</v>
      </c>
      <c r="J13" s="35" t="str">
        <f t="shared" si="2"/>
        <v>0</v>
      </c>
      <c r="K13" s="35">
        <f t="shared" si="3"/>
        <v>0</v>
      </c>
    </row>
    <row r="14" spans="2:11" ht="14.4" x14ac:dyDescent="0.4">
      <c r="B14" s="2">
        <v>10</v>
      </c>
      <c r="C14" s="127" t="str">
        <f>'Autenticidade Afetiva Homem'!C14</f>
        <v/>
      </c>
      <c r="D14" s="128" t="s">
        <v>239</v>
      </c>
      <c r="E14" s="127" t="str">
        <f>'Autenticidade Afetiva Mulher'!C14</f>
        <v/>
      </c>
      <c r="G14" s="66" t="str">
        <f t="shared" si="0"/>
        <v xml:space="preserve"> </v>
      </c>
      <c r="I14" s="35" t="str">
        <f t="shared" si="1"/>
        <v>0</v>
      </c>
      <c r="J14" s="35" t="str">
        <f t="shared" si="2"/>
        <v>0</v>
      </c>
      <c r="K14" s="35">
        <f t="shared" si="3"/>
        <v>0</v>
      </c>
    </row>
    <row r="15" spans="2:11" ht="14.4" x14ac:dyDescent="0.4">
      <c r="B15" s="2">
        <v>11</v>
      </c>
      <c r="C15" s="127" t="str">
        <f>'Autenticidade Afetiva Homem'!C15</f>
        <v/>
      </c>
      <c r="D15" s="128" t="s">
        <v>240</v>
      </c>
      <c r="E15" s="127" t="str">
        <f>'Autenticidade Afetiva Mulher'!C15</f>
        <v/>
      </c>
      <c r="G15" s="66" t="str">
        <f t="shared" si="0"/>
        <v xml:space="preserve"> </v>
      </c>
      <c r="I15" s="35" t="str">
        <f t="shared" si="1"/>
        <v>0</v>
      </c>
      <c r="J15" s="35" t="str">
        <f t="shared" si="2"/>
        <v>0</v>
      </c>
      <c r="K15" s="35">
        <f t="shared" si="3"/>
        <v>0</v>
      </c>
    </row>
    <row r="16" spans="2:11" ht="14.4" x14ac:dyDescent="0.4">
      <c r="B16" s="2">
        <v>12</v>
      </c>
      <c r="C16" s="127" t="str">
        <f>'Autenticidade Afetiva Homem'!C16</f>
        <v/>
      </c>
      <c r="D16" s="128" t="s">
        <v>241</v>
      </c>
      <c r="E16" s="127" t="str">
        <f>'Autenticidade Afetiva Mulher'!C16</f>
        <v/>
      </c>
      <c r="G16" s="66" t="str">
        <f t="shared" si="0"/>
        <v xml:space="preserve"> </v>
      </c>
      <c r="I16" s="35" t="str">
        <f t="shared" si="1"/>
        <v>0</v>
      </c>
      <c r="J16" s="35" t="str">
        <f t="shared" si="2"/>
        <v>0</v>
      </c>
      <c r="K16" s="35">
        <f t="shared" si="3"/>
        <v>0</v>
      </c>
    </row>
    <row r="17" spans="2:11" ht="14.4" x14ac:dyDescent="0.4">
      <c r="B17" s="2">
        <v>13</v>
      </c>
      <c r="C17" s="127" t="str">
        <f>'Autenticidade Afetiva Homem'!C17</f>
        <v/>
      </c>
      <c r="D17" s="128" t="s">
        <v>242</v>
      </c>
      <c r="E17" s="127" t="str">
        <f>'Autenticidade Afetiva Mulher'!C17</f>
        <v/>
      </c>
      <c r="G17" s="66" t="str">
        <f t="shared" si="0"/>
        <v xml:space="preserve"> </v>
      </c>
      <c r="I17" s="35" t="str">
        <f t="shared" si="1"/>
        <v>0</v>
      </c>
      <c r="J17" s="35" t="str">
        <f t="shared" si="2"/>
        <v>0</v>
      </c>
      <c r="K17" s="35">
        <f t="shared" si="3"/>
        <v>0</v>
      </c>
    </row>
    <row r="18" spans="2:11" ht="14.4" x14ac:dyDescent="0.4">
      <c r="B18" s="2">
        <v>14</v>
      </c>
      <c r="C18" s="127" t="str">
        <f>'Autenticidade Afetiva Homem'!C18</f>
        <v/>
      </c>
      <c r="D18" s="128" t="s">
        <v>243</v>
      </c>
      <c r="E18" s="127" t="str">
        <f>'Autenticidade Afetiva Mulher'!C18</f>
        <v/>
      </c>
      <c r="G18" s="66" t="str">
        <f t="shared" si="0"/>
        <v xml:space="preserve"> </v>
      </c>
      <c r="I18" s="35" t="str">
        <f t="shared" si="1"/>
        <v>0</v>
      </c>
      <c r="J18" s="35" t="str">
        <f t="shared" si="2"/>
        <v>0</v>
      </c>
      <c r="K18" s="35">
        <f t="shared" si="3"/>
        <v>0</v>
      </c>
    </row>
    <row r="19" spans="2:11" ht="14.4" x14ac:dyDescent="0.4">
      <c r="B19" s="2">
        <v>15</v>
      </c>
      <c r="C19" s="127" t="str">
        <f>'Autenticidade Afetiva Homem'!C19</f>
        <v/>
      </c>
      <c r="D19" s="128" t="s">
        <v>245</v>
      </c>
      <c r="E19" s="127" t="str">
        <f>'Autenticidade Afetiva Mulher'!C19</f>
        <v/>
      </c>
      <c r="G19" s="66" t="str">
        <f t="shared" si="0"/>
        <v xml:space="preserve"> </v>
      </c>
      <c r="I19" s="35" t="str">
        <f t="shared" si="1"/>
        <v>0</v>
      </c>
      <c r="J19" s="35" t="str">
        <f t="shared" si="2"/>
        <v>0</v>
      </c>
      <c r="K19" s="35">
        <f t="shared" si="3"/>
        <v>0</v>
      </c>
    </row>
    <row r="20" spans="2:11" ht="14.4" x14ac:dyDescent="0.4">
      <c r="B20" s="2">
        <v>16</v>
      </c>
      <c r="C20" s="127" t="str">
        <f>'Autenticidade Afetiva Homem'!C20</f>
        <v/>
      </c>
      <c r="D20" s="128" t="s">
        <v>244</v>
      </c>
      <c r="E20" s="127" t="str">
        <f>'Autenticidade Afetiva Mulher'!C20</f>
        <v/>
      </c>
      <c r="G20" s="66" t="str">
        <f t="shared" si="0"/>
        <v xml:space="preserve"> </v>
      </c>
      <c r="I20" s="35" t="str">
        <f t="shared" si="1"/>
        <v>0</v>
      </c>
      <c r="J20" s="35" t="str">
        <f t="shared" si="2"/>
        <v>0</v>
      </c>
      <c r="K20" s="35">
        <f t="shared" si="3"/>
        <v>0</v>
      </c>
    </row>
    <row r="21" spans="2:11" ht="14.4" x14ac:dyDescent="0.4">
      <c r="B21" s="2">
        <v>17</v>
      </c>
      <c r="C21" s="127" t="str">
        <f>'Autenticidade Afetiva Homem'!C21</f>
        <v/>
      </c>
      <c r="D21" s="128" t="s">
        <v>246</v>
      </c>
      <c r="E21" s="127" t="str">
        <f>'Autenticidade Afetiva Mulher'!C21</f>
        <v/>
      </c>
      <c r="G21" s="66" t="str">
        <f t="shared" si="0"/>
        <v xml:space="preserve"> </v>
      </c>
      <c r="I21" s="35" t="str">
        <f t="shared" si="1"/>
        <v>0</v>
      </c>
      <c r="J21" s="35" t="str">
        <f t="shared" si="2"/>
        <v>0</v>
      </c>
      <c r="K21" s="35">
        <f t="shared" si="3"/>
        <v>0</v>
      </c>
    </row>
    <row r="22" spans="2:11" ht="14.4" x14ac:dyDescent="0.4">
      <c r="B22" s="2">
        <v>18</v>
      </c>
      <c r="C22" s="127" t="str">
        <f>'Autenticidade Afetiva Homem'!C22</f>
        <v/>
      </c>
      <c r="D22" s="128" t="s">
        <v>247</v>
      </c>
      <c r="E22" s="127" t="str">
        <f>'Autenticidade Afetiva Mulher'!C22</f>
        <v/>
      </c>
      <c r="G22" s="66" t="str">
        <f t="shared" si="0"/>
        <v xml:space="preserve"> </v>
      </c>
      <c r="I22" s="35" t="str">
        <f t="shared" si="1"/>
        <v>0</v>
      </c>
      <c r="J22" s="35" t="str">
        <f t="shared" si="2"/>
        <v>0</v>
      </c>
      <c r="K22" s="35">
        <f t="shared" si="3"/>
        <v>0</v>
      </c>
    </row>
    <row r="23" spans="2:11" ht="14.4" x14ac:dyDescent="0.4">
      <c r="B23" s="2">
        <v>19</v>
      </c>
      <c r="C23" s="127" t="str">
        <f>'Autenticidade Afetiva Homem'!C23</f>
        <v/>
      </c>
      <c r="D23" s="128" t="s">
        <v>248</v>
      </c>
      <c r="E23" s="127" t="str">
        <f>'Autenticidade Afetiva Mulher'!C23</f>
        <v/>
      </c>
      <c r="G23" s="66" t="str">
        <f t="shared" si="0"/>
        <v xml:space="preserve"> </v>
      </c>
      <c r="I23" s="35" t="str">
        <f t="shared" si="1"/>
        <v>0</v>
      </c>
      <c r="J23" s="35" t="str">
        <f t="shared" si="2"/>
        <v>0</v>
      </c>
      <c r="K23" s="35">
        <f t="shared" si="3"/>
        <v>0</v>
      </c>
    </row>
    <row r="24" spans="2:11" ht="14.4" x14ac:dyDescent="0.4">
      <c r="B24" s="2">
        <v>20</v>
      </c>
      <c r="C24" s="127" t="str">
        <f>'Autenticidade Afetiva Homem'!C24</f>
        <v/>
      </c>
      <c r="D24" s="128" t="s">
        <v>249</v>
      </c>
      <c r="E24" s="127" t="str">
        <f>'Autenticidade Afetiva Mulher'!C24</f>
        <v/>
      </c>
      <c r="G24" s="66" t="str">
        <f t="shared" si="0"/>
        <v xml:space="preserve"> </v>
      </c>
      <c r="I24" s="35" t="str">
        <f t="shared" si="1"/>
        <v>0</v>
      </c>
      <c r="J24" s="35" t="str">
        <f t="shared" si="2"/>
        <v>0</v>
      </c>
      <c r="K24" s="35">
        <f t="shared" si="3"/>
        <v>0</v>
      </c>
    </row>
    <row r="25" spans="2:11" ht="14.4" x14ac:dyDescent="0.4">
      <c r="B25" s="2">
        <v>21</v>
      </c>
      <c r="C25" s="127" t="str">
        <f>'Autenticidade Afetiva Homem'!C25</f>
        <v/>
      </c>
      <c r="D25" s="128" t="s">
        <v>250</v>
      </c>
      <c r="E25" s="127" t="str">
        <f>'Autenticidade Afetiva Mulher'!C25</f>
        <v/>
      </c>
      <c r="G25" s="66" t="str">
        <f t="shared" si="0"/>
        <v xml:space="preserve"> </v>
      </c>
      <c r="I25" s="35" t="str">
        <f t="shared" si="1"/>
        <v>0</v>
      </c>
      <c r="J25" s="35" t="str">
        <f t="shared" si="2"/>
        <v>0</v>
      </c>
      <c r="K25" s="35">
        <f t="shared" si="3"/>
        <v>0</v>
      </c>
    </row>
    <row r="26" spans="2:11" ht="14.4" x14ac:dyDescent="0.4">
      <c r="B26" s="2">
        <v>22</v>
      </c>
      <c r="C26" s="127" t="str">
        <f>'Autenticidade Afetiva Homem'!C26</f>
        <v/>
      </c>
      <c r="D26" s="128" t="s">
        <v>251</v>
      </c>
      <c r="E26" s="127" t="str">
        <f>'Autenticidade Afetiva Mulher'!C26</f>
        <v/>
      </c>
      <c r="G26" s="66" t="str">
        <f t="shared" si="0"/>
        <v xml:space="preserve"> </v>
      </c>
      <c r="I26" s="35" t="str">
        <f t="shared" si="1"/>
        <v>0</v>
      </c>
      <c r="J26" s="35" t="str">
        <f t="shared" si="2"/>
        <v>0</v>
      </c>
      <c r="K26" s="35">
        <f t="shared" si="3"/>
        <v>0</v>
      </c>
    </row>
    <row r="27" spans="2:11" ht="14.4" x14ac:dyDescent="0.4">
      <c r="B27" s="2">
        <v>23</v>
      </c>
      <c r="C27" s="127" t="str">
        <f>'Autenticidade Afetiva Homem'!C27</f>
        <v/>
      </c>
      <c r="D27" s="128" t="s">
        <v>252</v>
      </c>
      <c r="E27" s="127" t="str">
        <f>'Autenticidade Afetiva Mulher'!C27</f>
        <v/>
      </c>
      <c r="G27" s="66" t="str">
        <f t="shared" si="0"/>
        <v xml:space="preserve"> </v>
      </c>
      <c r="I27" s="35" t="str">
        <f t="shared" si="1"/>
        <v>0</v>
      </c>
      <c r="J27" s="35" t="str">
        <f t="shared" si="2"/>
        <v>0</v>
      </c>
      <c r="K27" s="35">
        <f t="shared" si="3"/>
        <v>0</v>
      </c>
    </row>
    <row r="28" spans="2:11" ht="14.4" x14ac:dyDescent="0.4">
      <c r="B28" s="2">
        <v>24</v>
      </c>
      <c r="C28" s="127" t="str">
        <f>'Autenticidade Afetiva Homem'!C28</f>
        <v/>
      </c>
      <c r="D28" s="128" t="s">
        <v>253</v>
      </c>
      <c r="E28" s="127" t="str">
        <f>'Autenticidade Afetiva Mulher'!C28</f>
        <v/>
      </c>
      <c r="G28" s="66" t="str">
        <f t="shared" si="0"/>
        <v xml:space="preserve"> </v>
      </c>
      <c r="I28" s="35" t="str">
        <f t="shared" si="1"/>
        <v>0</v>
      </c>
      <c r="J28" s="35" t="str">
        <f t="shared" si="2"/>
        <v>0</v>
      </c>
      <c r="K28" s="35">
        <f t="shared" si="3"/>
        <v>0</v>
      </c>
    </row>
    <row r="31" spans="2:11" ht="12.75" customHeight="1" x14ac:dyDescent="0.4">
      <c r="B31" s="250" t="s">
        <v>255</v>
      </c>
      <c r="C31" s="250"/>
      <c r="D31" s="250"/>
      <c r="E31" s="250"/>
      <c r="F31" s="250"/>
      <c r="G31" s="250"/>
      <c r="H31" s="132"/>
    </row>
    <row r="32" spans="2:11" ht="12.75" customHeight="1" x14ac:dyDescent="0.4">
      <c r="B32" s="250"/>
      <c r="C32" s="250"/>
      <c r="D32" s="250"/>
      <c r="E32" s="250"/>
      <c r="F32" s="250"/>
      <c r="G32" s="250"/>
      <c r="H32" s="132"/>
    </row>
    <row r="33" spans="2:8" ht="12.75" customHeight="1" x14ac:dyDescent="0.4">
      <c r="B33" s="250"/>
      <c r="C33" s="250"/>
      <c r="D33" s="250"/>
      <c r="E33" s="250"/>
      <c r="F33" s="250"/>
      <c r="G33" s="250"/>
      <c r="H33" s="132"/>
    </row>
    <row r="34" spans="2:8" ht="15" customHeight="1" x14ac:dyDescent="0.4">
      <c r="C34" s="181" t="s">
        <v>257</v>
      </c>
      <c r="D34" s="182"/>
      <c r="E34" s="132"/>
      <c r="F34" s="132"/>
      <c r="G34" s="132"/>
      <c r="H34" s="132"/>
    </row>
    <row r="35" spans="2:8" ht="15" customHeight="1" x14ac:dyDescent="0.4">
      <c r="C35" s="183" t="s">
        <v>212</v>
      </c>
      <c r="D35" s="110">
        <f>COUNTIF(G4:G28, "convergência")</f>
        <v>0</v>
      </c>
    </row>
    <row r="36" spans="2:8" ht="15" customHeight="1" x14ac:dyDescent="0.4">
      <c r="C36" s="183" t="s">
        <v>213</v>
      </c>
      <c r="D36" s="110">
        <f>25-D35</f>
        <v>25</v>
      </c>
    </row>
  </sheetData>
  <sheetProtection password="CFC0" sheet="1" objects="1" scenarios="1"/>
  <mergeCells count="2">
    <mergeCell ref="B31:G33"/>
    <mergeCell ref="B1:G1"/>
  </mergeCells>
  <conditionalFormatting sqref="C4:C28 E4:E28">
    <cfRule type="cellIs" dxfId="6" priority="2" operator="equal">
      <formula>"sim"</formula>
    </cfRule>
  </conditionalFormatting>
  <conditionalFormatting sqref="G4:G28">
    <cfRule type="cellIs" dxfId="5" priority="1" operator="equal">
      <formula>"convergência"</formula>
    </cfRule>
  </conditionalFormatting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K49"/>
  <sheetViews>
    <sheetView showGridLines="0" workbookViewId="0">
      <pane ySplit="9" topLeftCell="A10" activePane="bottomLeft" state="frozen"/>
      <selection pane="bottomLeft" activeCell="F11" sqref="F11"/>
    </sheetView>
  </sheetViews>
  <sheetFormatPr defaultRowHeight="12.3" x14ac:dyDescent="0.4"/>
  <cols>
    <col min="7" max="7" width="4.1640625" customWidth="1"/>
    <col min="8" max="8" width="13.27734375" customWidth="1"/>
    <col min="9" max="9" width="18.71875" customWidth="1"/>
    <col min="10" max="10" width="6.71875" customWidth="1"/>
  </cols>
  <sheetData>
    <row r="1" spans="2:11" ht="17.7" x14ac:dyDescent="0.6">
      <c r="B1" s="231" t="s">
        <v>324</v>
      </c>
      <c r="C1" s="231"/>
      <c r="D1" s="231"/>
      <c r="E1" s="231"/>
      <c r="F1" s="231"/>
      <c r="G1" s="231"/>
      <c r="H1" s="231"/>
      <c r="I1" s="231"/>
      <c r="J1" s="231"/>
      <c r="K1" s="231"/>
    </row>
    <row r="2" spans="2:11" ht="4.5" customHeight="1" x14ac:dyDescent="0.4"/>
    <row r="3" spans="2:11" ht="39.75" customHeight="1" x14ac:dyDescent="0.4">
      <c r="B3" s="252" t="s">
        <v>259</v>
      </c>
      <c r="C3" s="252"/>
      <c r="D3" s="252"/>
      <c r="E3" s="252"/>
      <c r="F3" s="252"/>
      <c r="G3" s="252"/>
      <c r="H3" s="252"/>
      <c r="I3" s="252"/>
      <c r="J3" s="252"/>
      <c r="K3" s="252"/>
    </row>
    <row r="4" spans="2:11" ht="6.75" customHeight="1" x14ac:dyDescent="0.4">
      <c r="B4" s="113"/>
      <c r="C4" s="113"/>
      <c r="D4" s="113"/>
      <c r="E4" s="113"/>
      <c r="F4" s="113"/>
      <c r="G4" s="113"/>
      <c r="H4" s="113"/>
      <c r="I4" s="113"/>
      <c r="J4" s="113"/>
      <c r="K4" s="113"/>
    </row>
    <row r="5" spans="2:11" ht="34.5" customHeight="1" x14ac:dyDescent="0.4">
      <c r="B5" s="253" t="s">
        <v>260</v>
      </c>
      <c r="C5" s="253"/>
      <c r="D5" s="253"/>
      <c r="E5" s="253"/>
      <c r="F5" s="253"/>
      <c r="G5" s="253"/>
      <c r="H5" s="253"/>
      <c r="I5" s="253"/>
      <c r="J5" s="253"/>
      <c r="K5" s="253"/>
    </row>
    <row r="6" spans="2:11" ht="6.75" customHeight="1" x14ac:dyDescent="0.4">
      <c r="B6" s="104"/>
    </row>
    <row r="7" spans="2:11" ht="12.6" x14ac:dyDescent="0.4">
      <c r="B7" s="251" t="s">
        <v>522</v>
      </c>
      <c r="C7" s="251"/>
      <c r="D7" s="251"/>
      <c r="E7" s="251"/>
      <c r="F7" s="251"/>
      <c r="G7" s="251"/>
      <c r="H7" s="251"/>
      <c r="I7" s="251"/>
      <c r="J7" s="251"/>
      <c r="K7" s="251"/>
    </row>
    <row r="8" spans="2:11" ht="5.25" customHeight="1" x14ac:dyDescent="0.4">
      <c r="B8" s="134"/>
      <c r="C8" s="134"/>
      <c r="D8" s="134"/>
      <c r="E8" s="134"/>
      <c r="F8" s="134"/>
      <c r="G8" s="134"/>
      <c r="H8" s="134"/>
      <c r="I8" s="134"/>
      <c r="J8" s="134"/>
      <c r="K8" s="134"/>
    </row>
    <row r="9" spans="2:11" s="133" customFormat="1" x14ac:dyDescent="0.4">
      <c r="B9" s="254" t="s">
        <v>273</v>
      </c>
      <c r="C9" s="254"/>
      <c r="D9" s="254"/>
      <c r="E9" s="254"/>
      <c r="F9" s="66" t="s">
        <v>323</v>
      </c>
      <c r="G9" s="117"/>
      <c r="H9" s="254" t="s">
        <v>292</v>
      </c>
      <c r="I9" s="254"/>
      <c r="J9" s="254"/>
      <c r="K9" s="66" t="s">
        <v>323</v>
      </c>
    </row>
    <row r="10" spans="2:11" s="2" customFormat="1" ht="6.75" customHeight="1" x14ac:dyDescent="0.4"/>
    <row r="11" spans="2:11" ht="16.5" customHeight="1" x14ac:dyDescent="0.4">
      <c r="B11" s="137" t="s">
        <v>261</v>
      </c>
      <c r="C11" s="137"/>
      <c r="D11" s="137"/>
      <c r="E11" s="137"/>
      <c r="F11" s="184"/>
      <c r="G11" s="115"/>
      <c r="H11" s="139" t="s">
        <v>293</v>
      </c>
      <c r="I11" s="138"/>
      <c r="J11" s="138"/>
      <c r="K11" s="184"/>
    </row>
    <row r="12" spans="2:11" ht="16.5" customHeight="1" x14ac:dyDescent="0.4">
      <c r="B12" s="135" t="s">
        <v>262</v>
      </c>
      <c r="C12" s="135"/>
      <c r="D12" s="135"/>
      <c r="E12" s="135"/>
      <c r="F12" s="184"/>
      <c r="G12" s="115"/>
      <c r="H12" s="136" t="s">
        <v>294</v>
      </c>
      <c r="I12" s="135"/>
      <c r="J12" s="135"/>
      <c r="K12" s="184"/>
    </row>
    <row r="13" spans="2:11" ht="16.5" customHeight="1" x14ac:dyDescent="0.4">
      <c r="B13" s="137" t="s">
        <v>263</v>
      </c>
      <c r="C13" s="137"/>
      <c r="D13" s="137"/>
      <c r="E13" s="137"/>
      <c r="F13" s="184"/>
      <c r="G13" s="115"/>
      <c r="H13" s="139" t="s">
        <v>295</v>
      </c>
      <c r="I13" s="138"/>
      <c r="J13" s="138"/>
      <c r="K13" s="184"/>
    </row>
    <row r="14" spans="2:11" ht="16.5" customHeight="1" x14ac:dyDescent="0.4">
      <c r="B14" s="135" t="s">
        <v>264</v>
      </c>
      <c r="C14" s="135"/>
      <c r="D14" s="135"/>
      <c r="E14" s="135"/>
      <c r="F14" s="184"/>
      <c r="G14" s="115"/>
      <c r="H14" s="136" t="s">
        <v>296</v>
      </c>
      <c r="I14" s="135"/>
      <c r="J14" s="135"/>
      <c r="K14" s="184"/>
    </row>
    <row r="15" spans="2:11" ht="16.5" customHeight="1" x14ac:dyDescent="0.4">
      <c r="B15" s="137" t="s">
        <v>265</v>
      </c>
      <c r="C15" s="137"/>
      <c r="D15" s="137"/>
      <c r="E15" s="137"/>
      <c r="F15" s="184"/>
      <c r="G15" s="115"/>
      <c r="H15" s="139" t="s">
        <v>297</v>
      </c>
      <c r="I15" s="138"/>
      <c r="J15" s="138"/>
      <c r="K15" s="184"/>
    </row>
    <row r="16" spans="2:11" ht="16.5" customHeight="1" x14ac:dyDescent="0.4">
      <c r="B16" s="135" t="s">
        <v>266</v>
      </c>
      <c r="C16" s="135"/>
      <c r="D16" s="135"/>
      <c r="E16" s="135"/>
      <c r="F16" s="185"/>
      <c r="G16" s="115"/>
      <c r="H16" s="136" t="s">
        <v>298</v>
      </c>
      <c r="I16" s="135"/>
      <c r="J16" s="135"/>
      <c r="K16" s="184"/>
    </row>
    <row r="17" spans="2:11" ht="16.5" customHeight="1" x14ac:dyDescent="0.4">
      <c r="B17" s="137" t="s">
        <v>267</v>
      </c>
      <c r="C17" s="137"/>
      <c r="D17" s="137"/>
      <c r="E17" s="137"/>
      <c r="F17" s="185"/>
      <c r="G17" s="115"/>
      <c r="H17" s="139" t="s">
        <v>299</v>
      </c>
      <c r="I17" s="138"/>
      <c r="J17" s="138"/>
      <c r="K17" s="184"/>
    </row>
    <row r="18" spans="2:11" ht="16.5" customHeight="1" x14ac:dyDescent="0.4">
      <c r="B18" s="135" t="s">
        <v>268</v>
      </c>
      <c r="C18" s="135"/>
      <c r="D18" s="135"/>
      <c r="E18" s="135"/>
      <c r="F18" s="185"/>
      <c r="G18" s="115"/>
      <c r="H18" s="136" t="s">
        <v>300</v>
      </c>
      <c r="I18" s="135"/>
      <c r="J18" s="135"/>
      <c r="K18" s="184"/>
    </row>
    <row r="19" spans="2:11" ht="16.5" customHeight="1" x14ac:dyDescent="0.4">
      <c r="B19" s="137" t="s">
        <v>269</v>
      </c>
      <c r="C19" s="137"/>
      <c r="D19" s="137"/>
      <c r="E19" s="137"/>
      <c r="F19" s="185"/>
      <c r="G19" s="115"/>
      <c r="H19" s="139" t="s">
        <v>301</v>
      </c>
      <c r="I19" s="138"/>
      <c r="J19" s="138"/>
      <c r="K19" s="185"/>
    </row>
    <row r="20" spans="2:11" ht="16.5" customHeight="1" x14ac:dyDescent="0.4">
      <c r="B20" s="135" t="s">
        <v>274</v>
      </c>
      <c r="C20" s="135"/>
      <c r="D20" s="135"/>
      <c r="E20" s="135"/>
      <c r="F20" s="185"/>
      <c r="G20" s="115"/>
      <c r="H20" s="136" t="s">
        <v>302</v>
      </c>
      <c r="I20" s="135"/>
      <c r="J20" s="135"/>
      <c r="K20" s="184"/>
    </row>
    <row r="21" spans="2:11" ht="16.5" customHeight="1" x14ac:dyDescent="0.4">
      <c r="B21" s="137" t="s">
        <v>270</v>
      </c>
      <c r="C21" s="137"/>
      <c r="D21" s="137"/>
      <c r="E21" s="137"/>
      <c r="F21" s="185"/>
      <c r="G21" s="115"/>
      <c r="H21" s="139" t="s">
        <v>303</v>
      </c>
      <c r="I21" s="138"/>
      <c r="J21" s="138"/>
      <c r="K21" s="184"/>
    </row>
    <row r="22" spans="2:11" ht="16.5" customHeight="1" x14ac:dyDescent="0.4">
      <c r="B22" s="135" t="s">
        <v>271</v>
      </c>
      <c r="C22" s="135"/>
      <c r="D22" s="135"/>
      <c r="E22" s="135"/>
      <c r="F22" s="185"/>
      <c r="G22" s="115"/>
      <c r="H22" s="136" t="s">
        <v>304</v>
      </c>
      <c r="I22" s="135"/>
      <c r="J22" s="135"/>
      <c r="K22" s="185"/>
    </row>
    <row r="23" spans="2:11" ht="16.5" customHeight="1" x14ac:dyDescent="0.4">
      <c r="B23" s="137" t="s">
        <v>272</v>
      </c>
      <c r="C23" s="137"/>
      <c r="D23" s="137"/>
      <c r="E23" s="137"/>
      <c r="F23" s="185"/>
      <c r="G23" s="115"/>
      <c r="H23" s="139" t="s">
        <v>305</v>
      </c>
      <c r="I23" s="138"/>
      <c r="J23" s="138"/>
      <c r="K23" s="185"/>
    </row>
    <row r="24" spans="2:11" ht="16.5" customHeight="1" x14ac:dyDescent="0.4">
      <c r="B24" s="135" t="s">
        <v>275</v>
      </c>
      <c r="C24" s="135"/>
      <c r="D24" s="135"/>
      <c r="E24" s="135"/>
      <c r="F24" s="185"/>
      <c r="G24" s="115"/>
      <c r="H24" s="136" t="s">
        <v>306</v>
      </c>
      <c r="I24" s="135"/>
      <c r="J24" s="135"/>
      <c r="K24" s="185"/>
    </row>
    <row r="25" spans="2:11" ht="16.5" customHeight="1" x14ac:dyDescent="0.4">
      <c r="B25" s="137" t="s">
        <v>276</v>
      </c>
      <c r="C25" s="137"/>
      <c r="D25" s="137"/>
      <c r="E25" s="137"/>
      <c r="F25" s="185"/>
      <c r="G25" s="115"/>
      <c r="H25" s="139" t="s">
        <v>307</v>
      </c>
      <c r="I25" s="138"/>
      <c r="J25" s="138"/>
      <c r="K25" s="185"/>
    </row>
    <row r="26" spans="2:11" ht="16.5" customHeight="1" x14ac:dyDescent="0.4">
      <c r="B26" s="135" t="s">
        <v>277</v>
      </c>
      <c r="C26" s="135"/>
      <c r="D26" s="135"/>
      <c r="E26" s="135"/>
      <c r="F26" s="185"/>
      <c r="G26" s="115"/>
      <c r="H26" s="136" t="s">
        <v>308</v>
      </c>
      <c r="I26" s="135"/>
      <c r="J26" s="135"/>
      <c r="K26" s="185"/>
    </row>
    <row r="27" spans="2:11" ht="16.5" customHeight="1" x14ac:dyDescent="0.4">
      <c r="B27" s="137" t="s">
        <v>278</v>
      </c>
      <c r="C27" s="137"/>
      <c r="D27" s="137"/>
      <c r="E27" s="137"/>
      <c r="F27" s="185"/>
      <c r="G27" s="115"/>
      <c r="H27" s="139" t="s">
        <v>309</v>
      </c>
      <c r="I27" s="138"/>
      <c r="J27" s="138"/>
      <c r="K27" s="185"/>
    </row>
    <row r="28" spans="2:11" ht="16.5" customHeight="1" x14ac:dyDescent="0.4">
      <c r="B28" s="135" t="s">
        <v>279</v>
      </c>
      <c r="C28" s="135"/>
      <c r="D28" s="135"/>
      <c r="E28" s="135"/>
      <c r="F28" s="185"/>
      <c r="G28" s="115"/>
      <c r="H28" s="136" t="s">
        <v>310</v>
      </c>
      <c r="I28" s="135"/>
      <c r="J28" s="135"/>
      <c r="K28" s="185"/>
    </row>
    <row r="29" spans="2:11" ht="16.5" customHeight="1" x14ac:dyDescent="0.4">
      <c r="B29" s="137" t="s">
        <v>280</v>
      </c>
      <c r="C29" s="137"/>
      <c r="D29" s="137"/>
      <c r="E29" s="137"/>
      <c r="F29" s="185"/>
      <c r="G29" s="115"/>
      <c r="H29" s="139" t="s">
        <v>311</v>
      </c>
      <c r="I29" s="138"/>
      <c r="J29" s="138"/>
      <c r="K29" s="185"/>
    </row>
    <row r="30" spans="2:11" ht="16.5" customHeight="1" x14ac:dyDescent="0.4">
      <c r="B30" s="135" t="s">
        <v>281</v>
      </c>
      <c r="C30" s="135"/>
      <c r="D30" s="135"/>
      <c r="E30" s="135"/>
      <c r="F30" s="185"/>
      <c r="G30" s="115"/>
      <c r="H30" s="136" t="s">
        <v>312</v>
      </c>
      <c r="I30" s="135"/>
      <c r="J30" s="135"/>
      <c r="K30" s="185"/>
    </row>
    <row r="31" spans="2:11" ht="16.5" customHeight="1" x14ac:dyDescent="0.4">
      <c r="B31" s="137" t="s">
        <v>282</v>
      </c>
      <c r="C31" s="137"/>
      <c r="D31" s="137"/>
      <c r="E31" s="137"/>
      <c r="F31" s="185"/>
      <c r="G31" s="115"/>
      <c r="H31" s="139" t="s">
        <v>313</v>
      </c>
      <c r="I31" s="138"/>
      <c r="J31" s="138"/>
      <c r="K31" s="185"/>
    </row>
    <row r="32" spans="2:11" ht="16.5" customHeight="1" x14ac:dyDescent="0.4">
      <c r="B32" s="135" t="s">
        <v>283</v>
      </c>
      <c r="C32" s="135"/>
      <c r="D32" s="135"/>
      <c r="E32" s="135"/>
      <c r="F32" s="185"/>
      <c r="G32" s="115"/>
      <c r="H32" s="136" t="s">
        <v>314</v>
      </c>
      <c r="I32" s="135"/>
      <c r="J32" s="135"/>
      <c r="K32" s="185"/>
    </row>
    <row r="33" spans="2:11" ht="16.5" customHeight="1" x14ac:dyDescent="0.4">
      <c r="B33" s="137" t="s">
        <v>284</v>
      </c>
      <c r="C33" s="137"/>
      <c r="D33" s="137"/>
      <c r="E33" s="137"/>
      <c r="F33" s="185"/>
      <c r="G33" s="115"/>
      <c r="H33" s="139" t="s">
        <v>315</v>
      </c>
      <c r="I33" s="138"/>
      <c r="J33" s="138"/>
      <c r="K33" s="185"/>
    </row>
    <row r="34" spans="2:11" ht="16.5" customHeight="1" x14ac:dyDescent="0.4">
      <c r="B34" s="135" t="s">
        <v>285</v>
      </c>
      <c r="C34" s="135"/>
      <c r="D34" s="135"/>
      <c r="E34" s="135"/>
      <c r="F34" s="185"/>
      <c r="G34" s="115"/>
      <c r="H34" s="136" t="s">
        <v>316</v>
      </c>
      <c r="I34" s="135"/>
      <c r="J34" s="135"/>
      <c r="K34" s="185"/>
    </row>
    <row r="35" spans="2:11" ht="16.5" customHeight="1" x14ac:dyDescent="0.4">
      <c r="B35" s="137" t="s">
        <v>286</v>
      </c>
      <c r="C35" s="137"/>
      <c r="D35" s="137"/>
      <c r="E35" s="137"/>
      <c r="F35" s="185"/>
      <c r="G35" s="115"/>
      <c r="H35" s="139" t="s">
        <v>317</v>
      </c>
      <c r="I35" s="138"/>
      <c r="J35" s="138"/>
      <c r="K35" s="185"/>
    </row>
    <row r="36" spans="2:11" ht="16.5" customHeight="1" x14ac:dyDescent="0.4">
      <c r="B36" s="135" t="s">
        <v>287</v>
      </c>
      <c r="C36" s="135"/>
      <c r="D36" s="135"/>
      <c r="E36" s="135"/>
      <c r="F36" s="185"/>
      <c r="G36" s="115"/>
      <c r="H36" s="136" t="s">
        <v>318</v>
      </c>
      <c r="I36" s="135"/>
      <c r="J36" s="135"/>
      <c r="K36" s="185"/>
    </row>
    <row r="37" spans="2:11" ht="16.5" customHeight="1" x14ac:dyDescent="0.4">
      <c r="B37" s="137" t="s">
        <v>288</v>
      </c>
      <c r="C37" s="137"/>
      <c r="D37" s="137"/>
      <c r="E37" s="137"/>
      <c r="F37" s="185"/>
      <c r="G37" s="115"/>
      <c r="H37" s="139" t="s">
        <v>319</v>
      </c>
      <c r="I37" s="138"/>
      <c r="J37" s="138"/>
      <c r="K37" s="185"/>
    </row>
    <row r="38" spans="2:11" ht="16.5" customHeight="1" x14ac:dyDescent="0.4">
      <c r="B38" s="135" t="s">
        <v>289</v>
      </c>
      <c r="C38" s="135"/>
      <c r="D38" s="135"/>
      <c r="E38" s="135"/>
      <c r="F38" s="185"/>
      <c r="G38" s="115"/>
      <c r="H38" s="136" t="s">
        <v>320</v>
      </c>
      <c r="I38" s="135"/>
      <c r="J38" s="135"/>
      <c r="K38" s="185"/>
    </row>
    <row r="39" spans="2:11" ht="16.5" customHeight="1" x14ac:dyDescent="0.4">
      <c r="B39" s="137" t="s">
        <v>290</v>
      </c>
      <c r="C39" s="137"/>
      <c r="D39" s="137"/>
      <c r="E39" s="137"/>
      <c r="F39" s="185"/>
      <c r="G39" s="115"/>
      <c r="H39" s="139" t="s">
        <v>321</v>
      </c>
      <c r="I39" s="138"/>
      <c r="J39" s="138"/>
      <c r="K39" s="185"/>
    </row>
    <row r="40" spans="2:11" ht="16.5" customHeight="1" x14ac:dyDescent="0.4">
      <c r="B40" s="135" t="s">
        <v>291</v>
      </c>
      <c r="C40" s="135"/>
      <c r="D40" s="135"/>
      <c r="E40" s="135"/>
      <c r="F40" s="185"/>
      <c r="G40" s="115"/>
      <c r="H40" s="136" t="s">
        <v>322</v>
      </c>
      <c r="I40" s="135"/>
      <c r="J40" s="135"/>
      <c r="K40" s="185"/>
    </row>
    <row r="41" spans="2:11" ht="16.5" customHeight="1" thickBot="1" x14ac:dyDescent="0.45">
      <c r="B41" s="115"/>
      <c r="C41" s="115"/>
      <c r="D41" s="115"/>
      <c r="E41" s="115"/>
      <c r="F41" s="2"/>
      <c r="G41" s="115"/>
      <c r="H41" s="141"/>
      <c r="I41" s="115"/>
      <c r="J41" s="115"/>
      <c r="K41" s="2"/>
    </row>
    <row r="42" spans="2:11" s="142" customFormat="1" ht="14.4" thickTop="1" x14ac:dyDescent="0.5">
      <c r="B42" s="257" t="s">
        <v>326</v>
      </c>
      <c r="C42" s="258"/>
      <c r="D42" s="258"/>
      <c r="E42" s="259"/>
      <c r="H42" s="257" t="s">
        <v>327</v>
      </c>
      <c r="I42" s="258"/>
      <c r="J42" s="259"/>
    </row>
    <row r="43" spans="2:11" x14ac:dyDescent="0.4">
      <c r="B43" s="143"/>
      <c r="C43" s="256">
        <f>COUNTIF(F11:F40, "x")</f>
        <v>0</v>
      </c>
      <c r="D43" s="256"/>
      <c r="E43" s="144"/>
      <c r="H43" s="143"/>
      <c r="I43" s="256">
        <f>COUNTIF(K11:K40, "x")</f>
        <v>0</v>
      </c>
      <c r="J43" s="144"/>
    </row>
    <row r="44" spans="2:11" x14ac:dyDescent="0.4">
      <c r="B44" s="143"/>
      <c r="C44" s="256"/>
      <c r="D44" s="256"/>
      <c r="E44" s="144"/>
      <c r="H44" s="143"/>
      <c r="I44" s="256"/>
      <c r="J44" s="144"/>
    </row>
    <row r="45" spans="2:11" x14ac:dyDescent="0.4">
      <c r="B45" s="143"/>
      <c r="C45" s="256"/>
      <c r="D45" s="256"/>
      <c r="E45" s="144"/>
      <c r="H45" s="143"/>
      <c r="I45" s="256"/>
      <c r="J45" s="144"/>
    </row>
    <row r="46" spans="2:11" x14ac:dyDescent="0.4">
      <c r="B46" s="143"/>
      <c r="C46" s="260">
        <f>C43/30</f>
        <v>0</v>
      </c>
      <c r="D46" s="260"/>
      <c r="E46" s="144"/>
      <c r="H46" s="143"/>
      <c r="I46" s="260">
        <f>I43/30</f>
        <v>0</v>
      </c>
      <c r="J46" s="144"/>
    </row>
    <row r="47" spans="2:11" ht="12.6" thickBot="1" x14ac:dyDescent="0.45">
      <c r="B47" s="145"/>
      <c r="C47" s="261"/>
      <c r="D47" s="261"/>
      <c r="E47" s="146"/>
      <c r="H47" s="145"/>
      <c r="I47" s="261"/>
      <c r="J47" s="146"/>
    </row>
    <row r="48" spans="2:11" ht="7.5" customHeight="1" thickTop="1" x14ac:dyDescent="0.4"/>
    <row r="49" spans="3:9" ht="32.25" customHeight="1" x14ac:dyDescent="0.4">
      <c r="C49" s="255" t="s">
        <v>325</v>
      </c>
      <c r="D49" s="255"/>
      <c r="E49" s="255"/>
      <c r="F49" s="255"/>
      <c r="G49" s="255"/>
      <c r="H49" s="255"/>
      <c r="I49" s="255"/>
    </row>
  </sheetData>
  <sheetProtection password="CFC0" sheet="1" objects="1" scenarios="1"/>
  <mergeCells count="13">
    <mergeCell ref="C49:I49"/>
    <mergeCell ref="C43:D45"/>
    <mergeCell ref="I43:I45"/>
    <mergeCell ref="B42:E42"/>
    <mergeCell ref="H42:J42"/>
    <mergeCell ref="C46:D47"/>
    <mergeCell ref="I46:I47"/>
    <mergeCell ref="B7:K7"/>
    <mergeCell ref="B3:K3"/>
    <mergeCell ref="B5:K5"/>
    <mergeCell ref="B1:K1"/>
    <mergeCell ref="B9:E9"/>
    <mergeCell ref="H9:J9"/>
  </mergeCells>
  <conditionalFormatting sqref="F11:F41">
    <cfRule type="cellIs" dxfId="4" priority="2" operator="equal">
      <formula>"x"</formula>
    </cfRule>
  </conditionalFormatting>
  <conditionalFormatting sqref="K11:K41">
    <cfRule type="cellIs" dxfId="3" priority="1" operator="equal">
      <formula>"x"</formula>
    </cfRule>
  </conditionalFormatting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45"/>
  <sheetViews>
    <sheetView showGridLines="0" workbookViewId="0">
      <selection activeCell="F20" sqref="F20"/>
    </sheetView>
  </sheetViews>
  <sheetFormatPr defaultRowHeight="12.3" x14ac:dyDescent="0.4"/>
  <cols>
    <col min="1" max="1" width="54.83203125" customWidth="1"/>
    <col min="2" max="2" width="13.71875" customWidth="1"/>
    <col min="3" max="3" width="35" customWidth="1"/>
    <col min="4" max="4" width="11" customWidth="1"/>
    <col min="5" max="5" width="11.27734375" customWidth="1"/>
    <col min="7" max="7" width="6.27734375" style="35" hidden="1" customWidth="1"/>
    <col min="8" max="21" width="6.27734375" style="3" hidden="1" customWidth="1"/>
    <col min="22" max="22" width="2.27734375" customWidth="1"/>
    <col min="23" max="23" width="15.5546875" customWidth="1"/>
    <col min="24" max="24" width="9.1640625" style="2"/>
  </cols>
  <sheetData>
    <row r="1" spans="1:25" ht="17.7" x14ac:dyDescent="0.4">
      <c r="A1" s="216" t="s">
        <v>343</v>
      </c>
      <c r="B1" s="216"/>
      <c r="C1" s="216"/>
      <c r="D1" s="216"/>
      <c r="E1" s="216"/>
      <c r="F1" s="111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</row>
    <row r="2" spans="1:25" ht="6" customHeight="1" x14ac:dyDescent="0.4">
      <c r="W2" s="193"/>
      <c r="X2" s="194"/>
      <c r="Y2" s="193"/>
    </row>
    <row r="3" spans="1:25" ht="36" customHeight="1" x14ac:dyDescent="0.4">
      <c r="A3" s="264" t="s">
        <v>344</v>
      </c>
      <c r="B3" s="264"/>
      <c r="C3" s="264"/>
      <c r="D3" s="264"/>
      <c r="E3" s="264"/>
      <c r="F3" s="147"/>
      <c r="G3" s="186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W3" s="193"/>
      <c r="X3" s="194"/>
      <c r="Y3" s="193"/>
    </row>
    <row r="4" spans="1:25" ht="6" customHeight="1" x14ac:dyDescent="0.4">
      <c r="W4" s="193"/>
      <c r="X4" s="194"/>
      <c r="Y4" s="193"/>
    </row>
    <row r="5" spans="1:25" s="115" customFormat="1" ht="30.75" customHeight="1" x14ac:dyDescent="0.4">
      <c r="A5" s="263" t="s">
        <v>328</v>
      </c>
      <c r="B5" s="263"/>
      <c r="C5" s="263"/>
      <c r="D5" s="263"/>
      <c r="E5" s="154"/>
      <c r="G5" s="36">
        <v>1</v>
      </c>
      <c r="H5" s="36">
        <v>1</v>
      </c>
      <c r="I5" s="36">
        <v>1</v>
      </c>
      <c r="J5" s="36">
        <v>1</v>
      </c>
      <c r="K5" s="36">
        <v>1</v>
      </c>
      <c r="L5" s="36">
        <v>1</v>
      </c>
      <c r="M5" s="36">
        <v>1</v>
      </c>
      <c r="N5" s="36">
        <v>1</v>
      </c>
      <c r="O5" s="36">
        <v>1</v>
      </c>
      <c r="P5" s="36">
        <v>1</v>
      </c>
      <c r="Q5" s="36">
        <v>1</v>
      </c>
      <c r="R5" s="36">
        <v>1</v>
      </c>
      <c r="S5" s="36">
        <v>1</v>
      </c>
      <c r="T5" s="36">
        <v>1</v>
      </c>
      <c r="U5" s="36">
        <v>1</v>
      </c>
      <c r="W5" s="198" t="s">
        <v>345</v>
      </c>
      <c r="X5" s="199">
        <f>((G$5-1)*25)/100</f>
        <v>0</v>
      </c>
      <c r="Y5" s="195"/>
    </row>
    <row r="6" spans="1:25" s="115" customFormat="1" ht="30.75" customHeight="1" x14ac:dyDescent="0.4">
      <c r="A6" s="262" t="s">
        <v>329</v>
      </c>
      <c r="B6" s="262"/>
      <c r="C6" s="262"/>
      <c r="D6" s="262"/>
      <c r="G6" s="188">
        <v>0</v>
      </c>
      <c r="H6" s="188">
        <v>0</v>
      </c>
      <c r="I6" s="188">
        <v>0</v>
      </c>
      <c r="J6" s="188">
        <v>0</v>
      </c>
      <c r="K6" s="188">
        <v>0</v>
      </c>
      <c r="L6" s="188">
        <v>0</v>
      </c>
      <c r="M6" s="188">
        <v>0</v>
      </c>
      <c r="N6" s="188">
        <v>0</v>
      </c>
      <c r="O6" s="188">
        <v>0</v>
      </c>
      <c r="P6" s="188">
        <v>0</v>
      </c>
      <c r="Q6" s="188">
        <v>0</v>
      </c>
      <c r="R6" s="188">
        <v>0</v>
      </c>
      <c r="S6" s="188">
        <v>0</v>
      </c>
      <c r="T6" s="188">
        <v>0</v>
      </c>
      <c r="U6" s="188">
        <v>0</v>
      </c>
      <c r="W6" s="198" t="s">
        <v>346</v>
      </c>
      <c r="X6" s="199">
        <f>((H$5-1)*25)/100</f>
        <v>0</v>
      </c>
      <c r="Y6" s="195"/>
    </row>
    <row r="7" spans="1:25" s="115" customFormat="1" ht="30.75" customHeight="1" x14ac:dyDescent="0.4">
      <c r="A7" s="263" t="s">
        <v>330</v>
      </c>
      <c r="B7" s="263"/>
      <c r="C7" s="263"/>
      <c r="D7" s="263"/>
      <c r="E7" s="154"/>
      <c r="G7" s="188">
        <v>0.25</v>
      </c>
      <c r="H7" s="188">
        <v>0.25</v>
      </c>
      <c r="I7" s="188">
        <v>0.25</v>
      </c>
      <c r="J7" s="188">
        <v>0.25</v>
      </c>
      <c r="K7" s="188">
        <v>0.25</v>
      </c>
      <c r="L7" s="188">
        <v>0.25</v>
      </c>
      <c r="M7" s="188">
        <v>0.25</v>
      </c>
      <c r="N7" s="188">
        <v>0.25</v>
      </c>
      <c r="O7" s="188">
        <v>0.25</v>
      </c>
      <c r="P7" s="188">
        <v>0.25</v>
      </c>
      <c r="Q7" s="188">
        <v>0.25</v>
      </c>
      <c r="R7" s="188">
        <v>0.25</v>
      </c>
      <c r="S7" s="188">
        <v>0.25</v>
      </c>
      <c r="T7" s="188">
        <v>0.25</v>
      </c>
      <c r="U7" s="188">
        <v>0.25</v>
      </c>
      <c r="W7" s="198" t="s">
        <v>347</v>
      </c>
      <c r="X7" s="199">
        <f>((I$5-1)*25)/100</f>
        <v>0</v>
      </c>
      <c r="Y7" s="195"/>
    </row>
    <row r="8" spans="1:25" s="115" customFormat="1" ht="30.75" customHeight="1" x14ac:dyDescent="0.4">
      <c r="A8" s="262" t="s">
        <v>331</v>
      </c>
      <c r="B8" s="262"/>
      <c r="C8" s="262"/>
      <c r="D8" s="262"/>
      <c r="G8" s="188">
        <v>0.5</v>
      </c>
      <c r="H8" s="188">
        <v>0.5</v>
      </c>
      <c r="I8" s="188">
        <v>0.5</v>
      </c>
      <c r="J8" s="188">
        <v>0.5</v>
      </c>
      <c r="K8" s="188">
        <v>0.5</v>
      </c>
      <c r="L8" s="188">
        <v>0.5</v>
      </c>
      <c r="M8" s="188">
        <v>0.5</v>
      </c>
      <c r="N8" s="188">
        <v>0.5</v>
      </c>
      <c r="O8" s="188">
        <v>0.5</v>
      </c>
      <c r="P8" s="188">
        <v>0.5</v>
      </c>
      <c r="Q8" s="188">
        <v>0.5</v>
      </c>
      <c r="R8" s="188">
        <v>0.5</v>
      </c>
      <c r="S8" s="188">
        <v>0.5</v>
      </c>
      <c r="T8" s="188">
        <v>0.5</v>
      </c>
      <c r="U8" s="188">
        <v>0.5</v>
      </c>
      <c r="W8" s="198" t="s">
        <v>348</v>
      </c>
      <c r="X8" s="199">
        <f>((J$5-1)*25)/100</f>
        <v>0</v>
      </c>
      <c r="Y8" s="195"/>
    </row>
    <row r="9" spans="1:25" s="115" customFormat="1" ht="30.75" customHeight="1" x14ac:dyDescent="0.4">
      <c r="A9" s="263" t="s">
        <v>332</v>
      </c>
      <c r="B9" s="263"/>
      <c r="C9" s="263"/>
      <c r="D9" s="263"/>
      <c r="E9" s="154"/>
      <c r="G9" s="188">
        <v>0.75</v>
      </c>
      <c r="H9" s="188">
        <v>0.75</v>
      </c>
      <c r="I9" s="188">
        <v>0.75</v>
      </c>
      <c r="J9" s="188">
        <v>0.75</v>
      </c>
      <c r="K9" s="188">
        <v>0.75</v>
      </c>
      <c r="L9" s="188">
        <v>0.75</v>
      </c>
      <c r="M9" s="188">
        <v>0.75</v>
      </c>
      <c r="N9" s="188">
        <v>0.75</v>
      </c>
      <c r="O9" s="188">
        <v>0.75</v>
      </c>
      <c r="P9" s="188">
        <v>0.75</v>
      </c>
      <c r="Q9" s="188">
        <v>0.75</v>
      </c>
      <c r="R9" s="188">
        <v>0.75</v>
      </c>
      <c r="S9" s="188">
        <v>0.75</v>
      </c>
      <c r="T9" s="188">
        <v>0.75</v>
      </c>
      <c r="U9" s="188">
        <v>0.75</v>
      </c>
      <c r="W9" s="198" t="s">
        <v>349</v>
      </c>
      <c r="X9" s="199">
        <f>((K$5-1)*25)/100</f>
        <v>0</v>
      </c>
      <c r="Y9" s="195"/>
    </row>
    <row r="10" spans="1:25" s="115" customFormat="1" ht="30.75" customHeight="1" x14ac:dyDescent="0.4">
      <c r="A10" s="262" t="s">
        <v>333</v>
      </c>
      <c r="B10" s="262"/>
      <c r="C10" s="262"/>
      <c r="D10" s="262"/>
      <c r="G10" s="188">
        <v>1</v>
      </c>
      <c r="H10" s="188">
        <v>1</v>
      </c>
      <c r="I10" s="188">
        <v>1</v>
      </c>
      <c r="J10" s="188">
        <v>1</v>
      </c>
      <c r="K10" s="188">
        <v>1</v>
      </c>
      <c r="L10" s="188">
        <v>1</v>
      </c>
      <c r="M10" s="188">
        <v>1</v>
      </c>
      <c r="N10" s="188">
        <v>1</v>
      </c>
      <c r="O10" s="188">
        <v>1</v>
      </c>
      <c r="P10" s="188">
        <v>1</v>
      </c>
      <c r="Q10" s="188">
        <v>1</v>
      </c>
      <c r="R10" s="188">
        <v>1</v>
      </c>
      <c r="S10" s="188">
        <v>1</v>
      </c>
      <c r="T10" s="188">
        <v>1</v>
      </c>
      <c r="U10" s="188">
        <v>1</v>
      </c>
      <c r="W10" s="198" t="s">
        <v>350</v>
      </c>
      <c r="X10" s="199">
        <f>((L$5-1)*25)/100</f>
        <v>0</v>
      </c>
      <c r="Y10" s="195"/>
    </row>
    <row r="11" spans="1:25" s="115" customFormat="1" ht="30.75" customHeight="1" x14ac:dyDescent="0.4">
      <c r="A11" s="263" t="s">
        <v>334</v>
      </c>
      <c r="B11" s="263"/>
      <c r="C11" s="263"/>
      <c r="D11" s="263"/>
      <c r="E11" s="154"/>
      <c r="G11" s="3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W11" s="198" t="s">
        <v>351</v>
      </c>
      <c r="X11" s="199">
        <f>((M$5-1)*25)/100</f>
        <v>0</v>
      </c>
      <c r="Y11" s="195"/>
    </row>
    <row r="12" spans="1:25" s="115" customFormat="1" ht="30.75" customHeight="1" x14ac:dyDescent="0.4">
      <c r="A12" s="262" t="s">
        <v>335</v>
      </c>
      <c r="B12" s="262"/>
      <c r="C12" s="262"/>
      <c r="D12" s="262"/>
      <c r="G12" s="3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W12" s="198" t="s">
        <v>352</v>
      </c>
      <c r="X12" s="199">
        <f>((N$5-1)*25)/100</f>
        <v>0</v>
      </c>
      <c r="Y12" s="195"/>
    </row>
    <row r="13" spans="1:25" s="115" customFormat="1" ht="30.75" customHeight="1" x14ac:dyDescent="0.4">
      <c r="A13" s="263" t="s">
        <v>336</v>
      </c>
      <c r="B13" s="263"/>
      <c r="C13" s="263"/>
      <c r="D13" s="263"/>
      <c r="E13" s="154"/>
      <c r="G13" s="3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W13" s="198" t="s">
        <v>353</v>
      </c>
      <c r="X13" s="199">
        <f>((O$5-1)*25)/100</f>
        <v>0</v>
      </c>
      <c r="Y13" s="195"/>
    </row>
    <row r="14" spans="1:25" s="115" customFormat="1" ht="30.75" customHeight="1" x14ac:dyDescent="0.4">
      <c r="A14" s="262" t="s">
        <v>337</v>
      </c>
      <c r="B14" s="262"/>
      <c r="C14" s="262"/>
      <c r="D14" s="262"/>
      <c r="G14" s="3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W14" s="198" t="s">
        <v>354</v>
      </c>
      <c r="X14" s="199">
        <f>((P$5-1)*25)/100</f>
        <v>0</v>
      </c>
      <c r="Y14" s="195"/>
    </row>
    <row r="15" spans="1:25" s="115" customFormat="1" ht="30.75" customHeight="1" x14ac:dyDescent="0.4">
      <c r="A15" s="263" t="s">
        <v>338</v>
      </c>
      <c r="B15" s="263"/>
      <c r="C15" s="263"/>
      <c r="D15" s="263"/>
      <c r="E15" s="155"/>
      <c r="F15" s="113"/>
      <c r="G15" s="189"/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  <c r="S15" s="116"/>
      <c r="T15" s="116"/>
      <c r="U15" s="116"/>
      <c r="W15" s="198" t="s">
        <v>355</v>
      </c>
      <c r="X15" s="199">
        <f>((Q$5-1)*25)/100</f>
        <v>0</v>
      </c>
      <c r="Y15" s="195"/>
    </row>
    <row r="16" spans="1:25" s="115" customFormat="1" ht="30.75" customHeight="1" x14ac:dyDescent="0.4">
      <c r="A16" s="262" t="s">
        <v>339</v>
      </c>
      <c r="B16" s="262"/>
      <c r="C16" s="262"/>
      <c r="D16" s="262"/>
      <c r="G16" s="3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W16" s="198" t="s">
        <v>356</v>
      </c>
      <c r="X16" s="199">
        <f>((R$5-1)*25)/100</f>
        <v>0</v>
      </c>
      <c r="Y16" s="195"/>
    </row>
    <row r="17" spans="1:25" s="115" customFormat="1" ht="30.75" customHeight="1" x14ac:dyDescent="0.4">
      <c r="A17" s="263" t="s">
        <v>340</v>
      </c>
      <c r="B17" s="263"/>
      <c r="C17" s="263"/>
      <c r="D17" s="263"/>
      <c r="E17" s="154"/>
      <c r="G17" s="3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W17" s="198" t="s">
        <v>357</v>
      </c>
      <c r="X17" s="199">
        <f>((S$5-1)*25)/100</f>
        <v>0</v>
      </c>
      <c r="Y17" s="195"/>
    </row>
    <row r="18" spans="1:25" s="115" customFormat="1" ht="30.75" customHeight="1" x14ac:dyDescent="0.4">
      <c r="A18" s="262" t="s">
        <v>341</v>
      </c>
      <c r="B18" s="262"/>
      <c r="C18" s="262"/>
      <c r="D18" s="262"/>
      <c r="G18" s="3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W18" s="198" t="s">
        <v>358</v>
      </c>
      <c r="X18" s="199">
        <f>((T$5-1)*25)/100</f>
        <v>0</v>
      </c>
      <c r="Y18" s="195"/>
    </row>
    <row r="19" spans="1:25" s="115" customFormat="1" ht="30.75" customHeight="1" x14ac:dyDescent="0.4">
      <c r="A19" s="263" t="s">
        <v>342</v>
      </c>
      <c r="B19" s="263"/>
      <c r="C19" s="263"/>
      <c r="D19" s="263"/>
      <c r="E19" s="154"/>
      <c r="G19" s="3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W19" s="198" t="s">
        <v>359</v>
      </c>
      <c r="X19" s="199">
        <f>((U$5-1)*25)/100</f>
        <v>0</v>
      </c>
      <c r="Y19" s="195"/>
    </row>
    <row r="20" spans="1:25" ht="12.75" customHeight="1" x14ac:dyDescent="0.4">
      <c r="W20" s="193"/>
      <c r="X20" s="194"/>
      <c r="Y20" s="193"/>
    </row>
    <row r="21" spans="1:25" x14ac:dyDescent="0.4">
      <c r="W21" s="191" t="s">
        <v>360</v>
      </c>
      <c r="X21" s="192">
        <f>AVERAGE(X5:X19)</f>
        <v>0</v>
      </c>
      <c r="Y21" s="193"/>
    </row>
    <row r="22" spans="1:25" x14ac:dyDescent="0.4">
      <c r="W22" s="193"/>
      <c r="X22" s="194"/>
      <c r="Y22" s="193"/>
    </row>
    <row r="23" spans="1:25" x14ac:dyDescent="0.4">
      <c r="W23" s="193"/>
      <c r="X23" s="194"/>
      <c r="Y23" s="193"/>
    </row>
    <row r="24" spans="1:25" x14ac:dyDescent="0.4">
      <c r="W24" s="193"/>
      <c r="X24" s="194"/>
      <c r="Y24" s="193"/>
    </row>
    <row r="25" spans="1:25" x14ac:dyDescent="0.4">
      <c r="W25" s="193"/>
      <c r="X25" s="194"/>
      <c r="Y25" s="193"/>
    </row>
    <row r="43" spans="1:5" ht="17.7" x14ac:dyDescent="0.6">
      <c r="A43" s="196" t="s">
        <v>524</v>
      </c>
      <c r="B43" s="200">
        <f>X21</f>
        <v>0</v>
      </c>
      <c r="C43" s="197" t="s">
        <v>525</v>
      </c>
      <c r="D43" s="201">
        <f>COUNTIF(X5:X19, "100%")</f>
        <v>0</v>
      </c>
    </row>
    <row r="45" spans="1:5" ht="38.25" customHeight="1" x14ac:dyDescent="0.4">
      <c r="A45" s="262" t="s">
        <v>523</v>
      </c>
      <c r="B45" s="264"/>
      <c r="C45" s="264"/>
      <c r="D45" s="264"/>
      <c r="E45" s="264"/>
    </row>
  </sheetData>
  <sheetProtection password="CFC0" sheet="1" objects="1" scenarios="1"/>
  <mergeCells count="18">
    <mergeCell ref="A45:E45"/>
    <mergeCell ref="A10:D10"/>
    <mergeCell ref="A11:D11"/>
    <mergeCell ref="A12:D12"/>
    <mergeCell ref="A13:D13"/>
    <mergeCell ref="A14:D14"/>
    <mergeCell ref="A15:D15"/>
    <mergeCell ref="A1:E1"/>
    <mergeCell ref="A16:D16"/>
    <mergeCell ref="A17:D17"/>
    <mergeCell ref="A18:D18"/>
    <mergeCell ref="A19:D19"/>
    <mergeCell ref="A5:D5"/>
    <mergeCell ref="A6:D6"/>
    <mergeCell ref="A7:D7"/>
    <mergeCell ref="A8:D8"/>
    <mergeCell ref="A9:D9"/>
    <mergeCell ref="A3:E3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1746" r:id="rId4" name="Drop Down 2">
              <controlPr defaultSize="0" autoLine="0" autoPict="0">
                <anchor moveWithCells="1">
                  <from>
                    <xdr:col>4</xdr:col>
                    <xdr:colOff>7620</xdr:colOff>
                    <xdr:row>4</xdr:row>
                    <xdr:rowOff>38100</xdr:rowOff>
                  </from>
                  <to>
                    <xdr:col>4</xdr:col>
                    <xdr:colOff>297180</xdr:colOff>
                    <xdr:row>4</xdr:row>
                    <xdr:rowOff>125730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7" r:id="rId5" name="Drop Down 3">
              <controlPr defaultSize="0" autoLine="0" autoPict="0">
                <anchor moveWithCells="1">
                  <from>
                    <xdr:col>4</xdr:col>
                    <xdr:colOff>7620</xdr:colOff>
                    <xdr:row>5</xdr:row>
                    <xdr:rowOff>38100</xdr:rowOff>
                  </from>
                  <to>
                    <xdr:col>4</xdr:col>
                    <xdr:colOff>297180</xdr:colOff>
                    <xdr:row>5</xdr:row>
                    <xdr:rowOff>125730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8" r:id="rId6" name="Drop Down 4">
              <controlPr defaultSize="0" autoLine="0" autoPict="0">
                <anchor moveWithCells="1">
                  <from>
                    <xdr:col>4</xdr:col>
                    <xdr:colOff>7620</xdr:colOff>
                    <xdr:row>6</xdr:row>
                    <xdr:rowOff>38100</xdr:rowOff>
                  </from>
                  <to>
                    <xdr:col>4</xdr:col>
                    <xdr:colOff>297180</xdr:colOff>
                    <xdr:row>6</xdr:row>
                    <xdr:rowOff>125730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9" r:id="rId7" name="Drop Down 5">
              <controlPr defaultSize="0" autoLine="0" autoPict="0">
                <anchor moveWithCells="1">
                  <from>
                    <xdr:col>4</xdr:col>
                    <xdr:colOff>7620</xdr:colOff>
                    <xdr:row>7</xdr:row>
                    <xdr:rowOff>38100</xdr:rowOff>
                  </from>
                  <to>
                    <xdr:col>4</xdr:col>
                    <xdr:colOff>297180</xdr:colOff>
                    <xdr:row>7</xdr:row>
                    <xdr:rowOff>125730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0" r:id="rId8" name="Drop Down 6">
              <controlPr defaultSize="0" autoLine="0" autoPict="0">
                <anchor moveWithCells="1">
                  <from>
                    <xdr:col>4</xdr:col>
                    <xdr:colOff>7620</xdr:colOff>
                    <xdr:row>8</xdr:row>
                    <xdr:rowOff>38100</xdr:rowOff>
                  </from>
                  <to>
                    <xdr:col>4</xdr:col>
                    <xdr:colOff>297180</xdr:colOff>
                    <xdr:row>8</xdr:row>
                    <xdr:rowOff>125730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1" r:id="rId9" name="Drop Down 7">
              <controlPr defaultSize="0" autoLine="0" autoPict="0">
                <anchor moveWithCells="1">
                  <from>
                    <xdr:col>4</xdr:col>
                    <xdr:colOff>7620</xdr:colOff>
                    <xdr:row>9</xdr:row>
                    <xdr:rowOff>38100</xdr:rowOff>
                  </from>
                  <to>
                    <xdr:col>4</xdr:col>
                    <xdr:colOff>297180</xdr:colOff>
                    <xdr:row>9</xdr:row>
                    <xdr:rowOff>125730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2" r:id="rId10" name="Drop Down 8">
              <controlPr defaultSize="0" autoLine="0" autoPict="0">
                <anchor moveWithCells="1">
                  <from>
                    <xdr:col>4</xdr:col>
                    <xdr:colOff>7620</xdr:colOff>
                    <xdr:row>10</xdr:row>
                    <xdr:rowOff>38100</xdr:rowOff>
                  </from>
                  <to>
                    <xdr:col>4</xdr:col>
                    <xdr:colOff>297180</xdr:colOff>
                    <xdr:row>10</xdr:row>
                    <xdr:rowOff>125730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4" r:id="rId11" name="Drop Down 10">
              <controlPr defaultSize="0" autoLine="0" autoPict="0">
                <anchor moveWithCells="1">
                  <from>
                    <xdr:col>4</xdr:col>
                    <xdr:colOff>7620</xdr:colOff>
                    <xdr:row>11</xdr:row>
                    <xdr:rowOff>38100</xdr:rowOff>
                  </from>
                  <to>
                    <xdr:col>4</xdr:col>
                    <xdr:colOff>297180</xdr:colOff>
                    <xdr:row>11</xdr:row>
                    <xdr:rowOff>125730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5" r:id="rId12" name="Drop Down 11">
              <controlPr defaultSize="0" autoLine="0" autoPict="0">
                <anchor moveWithCells="1">
                  <from>
                    <xdr:col>4</xdr:col>
                    <xdr:colOff>7620</xdr:colOff>
                    <xdr:row>12</xdr:row>
                    <xdr:rowOff>38100</xdr:rowOff>
                  </from>
                  <to>
                    <xdr:col>4</xdr:col>
                    <xdr:colOff>297180</xdr:colOff>
                    <xdr:row>12</xdr:row>
                    <xdr:rowOff>125730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6" r:id="rId13" name="Drop Down 12">
              <controlPr defaultSize="0" autoLine="0" autoPict="0">
                <anchor moveWithCells="1">
                  <from>
                    <xdr:col>4</xdr:col>
                    <xdr:colOff>7620</xdr:colOff>
                    <xdr:row>13</xdr:row>
                    <xdr:rowOff>38100</xdr:rowOff>
                  </from>
                  <to>
                    <xdr:col>4</xdr:col>
                    <xdr:colOff>297180</xdr:colOff>
                    <xdr:row>13</xdr:row>
                    <xdr:rowOff>125730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7" r:id="rId14" name="Drop Down 13">
              <controlPr defaultSize="0" autoLine="0" autoPict="0">
                <anchor moveWithCells="1">
                  <from>
                    <xdr:col>4</xdr:col>
                    <xdr:colOff>7620</xdr:colOff>
                    <xdr:row>14</xdr:row>
                    <xdr:rowOff>38100</xdr:rowOff>
                  </from>
                  <to>
                    <xdr:col>4</xdr:col>
                    <xdr:colOff>297180</xdr:colOff>
                    <xdr:row>14</xdr:row>
                    <xdr:rowOff>125730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8" r:id="rId15" name="Drop Down 14">
              <controlPr defaultSize="0" autoLine="0" autoPict="0">
                <anchor moveWithCells="1">
                  <from>
                    <xdr:col>4</xdr:col>
                    <xdr:colOff>7620</xdr:colOff>
                    <xdr:row>15</xdr:row>
                    <xdr:rowOff>38100</xdr:rowOff>
                  </from>
                  <to>
                    <xdr:col>4</xdr:col>
                    <xdr:colOff>297180</xdr:colOff>
                    <xdr:row>15</xdr:row>
                    <xdr:rowOff>125730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9" r:id="rId16" name="Drop Down 15">
              <controlPr defaultSize="0" autoLine="0" autoPict="0">
                <anchor moveWithCells="1">
                  <from>
                    <xdr:col>4</xdr:col>
                    <xdr:colOff>7620</xdr:colOff>
                    <xdr:row>16</xdr:row>
                    <xdr:rowOff>38100</xdr:rowOff>
                  </from>
                  <to>
                    <xdr:col>4</xdr:col>
                    <xdr:colOff>297180</xdr:colOff>
                    <xdr:row>16</xdr:row>
                    <xdr:rowOff>125730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0" r:id="rId17" name="Drop Down 16">
              <controlPr defaultSize="0" autoLine="0" autoPict="0">
                <anchor moveWithCells="1">
                  <from>
                    <xdr:col>4</xdr:col>
                    <xdr:colOff>7620</xdr:colOff>
                    <xdr:row>17</xdr:row>
                    <xdr:rowOff>38100</xdr:rowOff>
                  </from>
                  <to>
                    <xdr:col>4</xdr:col>
                    <xdr:colOff>297180</xdr:colOff>
                    <xdr:row>17</xdr:row>
                    <xdr:rowOff>125730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1" r:id="rId18" name="Drop Down 17">
              <controlPr defaultSize="0" autoLine="0" autoPict="0">
                <anchor moveWithCells="1">
                  <from>
                    <xdr:col>4</xdr:col>
                    <xdr:colOff>7620</xdr:colOff>
                    <xdr:row>18</xdr:row>
                    <xdr:rowOff>38100</xdr:rowOff>
                  </from>
                  <to>
                    <xdr:col>4</xdr:col>
                    <xdr:colOff>297180</xdr:colOff>
                    <xdr:row>18</xdr:row>
                    <xdr:rowOff>125730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44"/>
  <sheetViews>
    <sheetView showGridLines="0" workbookViewId="0">
      <selection activeCell="P10" sqref="P10"/>
    </sheetView>
  </sheetViews>
  <sheetFormatPr defaultRowHeight="12.3" x14ac:dyDescent="0.4"/>
  <cols>
    <col min="1" max="4" width="9.1640625" style="115"/>
    <col min="5" max="5" width="12.5546875" style="115" customWidth="1"/>
    <col min="6" max="6" width="6.44140625" style="115" customWidth="1"/>
    <col min="7" max="7" width="8.44140625" style="115" customWidth="1"/>
    <col min="8" max="8" width="10.44140625" style="115" hidden="1" customWidth="1"/>
    <col min="9" max="13" width="9.1640625" style="115"/>
    <col min="14" max="14" width="3.71875" style="115" customWidth="1"/>
    <col min="15" max="16" width="6.71875" customWidth="1"/>
    <col min="17" max="17" width="10.5546875" hidden="1" customWidth="1"/>
  </cols>
  <sheetData>
    <row r="1" spans="1:17" ht="17.7" x14ac:dyDescent="0.4">
      <c r="A1" s="216" t="s">
        <v>424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</row>
    <row r="2" spans="1:17" ht="4.5" customHeight="1" x14ac:dyDescent="0.4"/>
    <row r="3" spans="1:17" ht="40.5" customHeight="1" x14ac:dyDescent="0.4">
      <c r="A3" s="266" t="s">
        <v>362</v>
      </c>
      <c r="B3" s="266"/>
      <c r="C3" s="266"/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6"/>
      <c r="O3" s="266"/>
      <c r="P3" s="266"/>
    </row>
    <row r="4" spans="1:17" ht="6.75" customHeight="1" x14ac:dyDescent="0.4"/>
    <row r="5" spans="1:17" ht="21.75" customHeight="1" x14ac:dyDescent="0.4">
      <c r="A5" s="156" t="s">
        <v>363</v>
      </c>
      <c r="B5" s="156"/>
      <c r="C5" s="156"/>
      <c r="D5" s="156"/>
      <c r="E5" s="156"/>
      <c r="G5" s="153" t="str">
        <f>IF(H5, "Sim", "")</f>
        <v/>
      </c>
      <c r="H5" s="202" t="b">
        <v>0</v>
      </c>
      <c r="I5" s="156" t="s">
        <v>393</v>
      </c>
      <c r="J5" s="156"/>
      <c r="K5" s="156"/>
      <c r="L5" s="156"/>
      <c r="M5" s="156"/>
      <c r="N5" s="156"/>
      <c r="P5" s="153" t="str">
        <f>IF(Q5, "Sim", "")</f>
        <v/>
      </c>
      <c r="Q5" s="202" t="b">
        <v>0</v>
      </c>
    </row>
    <row r="6" spans="1:17" ht="21.75" customHeight="1" x14ac:dyDescent="0.4">
      <c r="A6" s="115" t="s">
        <v>364</v>
      </c>
      <c r="G6" s="153" t="str">
        <f t="shared" ref="G6:G34" si="0">IF(H6, "Sim", "")</f>
        <v/>
      </c>
      <c r="H6" s="202" t="b">
        <v>0</v>
      </c>
      <c r="I6" s="115" t="s">
        <v>394</v>
      </c>
      <c r="P6" s="153" t="str">
        <f t="shared" ref="P6:P33" si="1">IF(Q6, "Sim", "")</f>
        <v/>
      </c>
      <c r="Q6" s="202" t="b">
        <v>0</v>
      </c>
    </row>
    <row r="7" spans="1:17" ht="21.75" customHeight="1" x14ac:dyDescent="0.4">
      <c r="A7" s="156" t="s">
        <v>365</v>
      </c>
      <c r="B7" s="156"/>
      <c r="C7" s="156"/>
      <c r="D7" s="156"/>
      <c r="E7" s="156"/>
      <c r="G7" s="153" t="str">
        <f t="shared" si="0"/>
        <v/>
      </c>
      <c r="H7" s="202" t="b">
        <v>0</v>
      </c>
      <c r="I7" s="156" t="s">
        <v>395</v>
      </c>
      <c r="J7" s="156"/>
      <c r="K7" s="156"/>
      <c r="L7" s="156"/>
      <c r="M7" s="156"/>
      <c r="N7" s="156"/>
      <c r="P7" s="153" t="str">
        <f t="shared" si="1"/>
        <v/>
      </c>
      <c r="Q7" s="202" t="b">
        <v>0</v>
      </c>
    </row>
    <row r="8" spans="1:17" ht="21.75" customHeight="1" x14ac:dyDescent="0.4">
      <c r="A8" s="115" t="s">
        <v>366</v>
      </c>
      <c r="G8" s="153" t="str">
        <f t="shared" si="0"/>
        <v/>
      </c>
      <c r="H8" s="202" t="b">
        <v>0</v>
      </c>
      <c r="I8" s="115" t="s">
        <v>396</v>
      </c>
      <c r="P8" s="153" t="str">
        <f t="shared" si="1"/>
        <v/>
      </c>
      <c r="Q8" s="202" t="b">
        <v>0</v>
      </c>
    </row>
    <row r="9" spans="1:17" ht="21.75" customHeight="1" x14ac:dyDescent="0.4">
      <c r="A9" s="156" t="s">
        <v>367</v>
      </c>
      <c r="B9" s="156"/>
      <c r="C9" s="156"/>
      <c r="D9" s="156"/>
      <c r="E9" s="156"/>
      <c r="G9" s="153" t="str">
        <f t="shared" si="0"/>
        <v/>
      </c>
      <c r="H9" s="202" t="b">
        <v>0</v>
      </c>
      <c r="I9" s="156" t="s">
        <v>397</v>
      </c>
      <c r="J9" s="156"/>
      <c r="K9" s="156"/>
      <c r="L9" s="156"/>
      <c r="M9" s="156"/>
      <c r="N9" s="156"/>
      <c r="P9" s="153" t="str">
        <f t="shared" si="1"/>
        <v/>
      </c>
      <c r="Q9" s="202" t="b">
        <v>0</v>
      </c>
    </row>
    <row r="10" spans="1:17" ht="21.75" customHeight="1" x14ac:dyDescent="0.4">
      <c r="A10" s="115" t="s">
        <v>368</v>
      </c>
      <c r="G10" s="153" t="str">
        <f t="shared" si="0"/>
        <v/>
      </c>
      <c r="H10" s="202" t="b">
        <v>0</v>
      </c>
      <c r="I10" s="115" t="s">
        <v>398</v>
      </c>
      <c r="P10" s="153" t="str">
        <f t="shared" si="1"/>
        <v/>
      </c>
      <c r="Q10" s="202" t="b">
        <v>0</v>
      </c>
    </row>
    <row r="11" spans="1:17" ht="21.75" customHeight="1" x14ac:dyDescent="0.4">
      <c r="A11" s="156" t="s">
        <v>369</v>
      </c>
      <c r="B11" s="156"/>
      <c r="C11" s="156"/>
      <c r="D11" s="156"/>
      <c r="E11" s="156"/>
      <c r="G11" s="153" t="str">
        <f t="shared" si="0"/>
        <v/>
      </c>
      <c r="H11" s="202" t="b">
        <v>0</v>
      </c>
      <c r="I11" s="156" t="s">
        <v>399</v>
      </c>
      <c r="J11" s="156"/>
      <c r="K11" s="156"/>
      <c r="L11" s="156"/>
      <c r="M11" s="156"/>
      <c r="N11" s="156"/>
      <c r="P11" s="153" t="str">
        <f t="shared" si="1"/>
        <v/>
      </c>
      <c r="Q11" s="202" t="b">
        <v>0</v>
      </c>
    </row>
    <row r="12" spans="1:17" ht="21.75" customHeight="1" x14ac:dyDescent="0.4">
      <c r="A12" s="115" t="s">
        <v>370</v>
      </c>
      <c r="G12" s="153" t="str">
        <f t="shared" si="0"/>
        <v/>
      </c>
      <c r="H12" s="202" t="b">
        <v>0</v>
      </c>
      <c r="I12" s="115" t="s">
        <v>400</v>
      </c>
      <c r="P12" s="153" t="str">
        <f t="shared" si="1"/>
        <v/>
      </c>
      <c r="Q12" s="202" t="b">
        <v>0</v>
      </c>
    </row>
    <row r="13" spans="1:17" ht="21.75" customHeight="1" x14ac:dyDescent="0.4">
      <c r="A13" s="156" t="s">
        <v>371</v>
      </c>
      <c r="B13" s="156"/>
      <c r="C13" s="156"/>
      <c r="D13" s="156"/>
      <c r="E13" s="156"/>
      <c r="G13" s="153" t="str">
        <f t="shared" si="0"/>
        <v/>
      </c>
      <c r="H13" s="202" t="b">
        <v>0</v>
      </c>
      <c r="I13" s="156" t="s">
        <v>401</v>
      </c>
      <c r="J13" s="156"/>
      <c r="K13" s="156"/>
      <c r="L13" s="156"/>
      <c r="M13" s="156"/>
      <c r="N13" s="156"/>
      <c r="P13" s="153" t="str">
        <f t="shared" si="1"/>
        <v/>
      </c>
      <c r="Q13" s="202" t="b">
        <v>0</v>
      </c>
    </row>
    <row r="14" spans="1:17" ht="21.75" customHeight="1" x14ac:dyDescent="0.4">
      <c r="A14" s="115" t="s">
        <v>372</v>
      </c>
      <c r="G14" s="153" t="str">
        <f t="shared" si="0"/>
        <v/>
      </c>
      <c r="H14" s="202" t="b">
        <v>0</v>
      </c>
      <c r="I14" s="115" t="s">
        <v>402</v>
      </c>
      <c r="P14" s="153" t="str">
        <f t="shared" si="1"/>
        <v/>
      </c>
      <c r="Q14" s="202" t="b">
        <v>0</v>
      </c>
    </row>
    <row r="15" spans="1:17" ht="21.75" customHeight="1" x14ac:dyDescent="0.4">
      <c r="A15" s="156" t="s">
        <v>373</v>
      </c>
      <c r="B15" s="156"/>
      <c r="C15" s="156"/>
      <c r="D15" s="156"/>
      <c r="E15" s="156"/>
      <c r="G15" s="153" t="str">
        <f t="shared" si="0"/>
        <v/>
      </c>
      <c r="H15" s="202" t="b">
        <v>0</v>
      </c>
      <c r="I15" s="156" t="s">
        <v>403</v>
      </c>
      <c r="J15" s="156"/>
      <c r="K15" s="156"/>
      <c r="L15" s="156"/>
      <c r="M15" s="156"/>
      <c r="N15" s="156"/>
      <c r="P15" s="153" t="str">
        <f t="shared" si="1"/>
        <v/>
      </c>
      <c r="Q15" s="202" t="b">
        <v>0</v>
      </c>
    </row>
    <row r="16" spans="1:17" ht="21.75" customHeight="1" x14ac:dyDescent="0.4">
      <c r="A16" s="115" t="s">
        <v>374</v>
      </c>
      <c r="G16" s="153" t="str">
        <f t="shared" si="0"/>
        <v/>
      </c>
      <c r="H16" s="202" t="b">
        <v>0</v>
      </c>
      <c r="I16" s="115" t="s">
        <v>404</v>
      </c>
      <c r="P16" s="153" t="str">
        <f t="shared" si="1"/>
        <v/>
      </c>
      <c r="Q16" s="202" t="b">
        <v>0</v>
      </c>
    </row>
    <row r="17" spans="1:17" ht="21.75" customHeight="1" x14ac:dyDescent="0.4">
      <c r="A17" s="156" t="s">
        <v>375</v>
      </c>
      <c r="B17" s="156"/>
      <c r="C17" s="156"/>
      <c r="D17" s="156"/>
      <c r="E17" s="156"/>
      <c r="G17" s="153" t="str">
        <f t="shared" si="0"/>
        <v/>
      </c>
      <c r="H17" s="202" t="b">
        <v>0</v>
      </c>
      <c r="I17" s="156" t="s">
        <v>405</v>
      </c>
      <c r="J17" s="156"/>
      <c r="K17" s="156"/>
      <c r="L17" s="156"/>
      <c r="M17" s="156"/>
      <c r="N17" s="156"/>
      <c r="P17" s="153" t="str">
        <f t="shared" si="1"/>
        <v/>
      </c>
      <c r="Q17" s="202" t="b">
        <v>0</v>
      </c>
    </row>
    <row r="18" spans="1:17" ht="21.75" customHeight="1" x14ac:dyDescent="0.4">
      <c r="A18" s="115" t="s">
        <v>376</v>
      </c>
      <c r="G18" s="153" t="str">
        <f t="shared" si="0"/>
        <v/>
      </c>
      <c r="H18" s="202" t="b">
        <v>0</v>
      </c>
      <c r="I18" s="115" t="s">
        <v>406</v>
      </c>
      <c r="P18" s="153" t="str">
        <f t="shared" si="1"/>
        <v/>
      </c>
      <c r="Q18" s="202" t="b">
        <v>0</v>
      </c>
    </row>
    <row r="19" spans="1:17" ht="21.75" customHeight="1" x14ac:dyDescent="0.4">
      <c r="A19" s="156" t="s">
        <v>377</v>
      </c>
      <c r="B19" s="156"/>
      <c r="C19" s="156"/>
      <c r="D19" s="156"/>
      <c r="E19" s="156"/>
      <c r="G19" s="153" t="str">
        <f t="shared" si="0"/>
        <v/>
      </c>
      <c r="H19" s="202" t="b">
        <v>0</v>
      </c>
      <c r="I19" s="156" t="s">
        <v>407</v>
      </c>
      <c r="J19" s="156"/>
      <c r="K19" s="156"/>
      <c r="L19" s="156"/>
      <c r="M19" s="156"/>
      <c r="N19" s="156"/>
      <c r="P19" s="153" t="str">
        <f t="shared" si="1"/>
        <v/>
      </c>
      <c r="Q19" s="202" t="b">
        <v>0</v>
      </c>
    </row>
    <row r="20" spans="1:17" ht="21.75" customHeight="1" x14ac:dyDescent="0.4">
      <c r="A20" s="115" t="s">
        <v>378</v>
      </c>
      <c r="G20" s="153" t="str">
        <f t="shared" si="0"/>
        <v/>
      </c>
      <c r="H20" s="202" t="b">
        <v>0</v>
      </c>
      <c r="I20" s="115" t="s">
        <v>408</v>
      </c>
      <c r="P20" s="153" t="str">
        <f t="shared" si="1"/>
        <v/>
      </c>
      <c r="Q20" s="202" t="b">
        <v>0</v>
      </c>
    </row>
    <row r="21" spans="1:17" ht="21.75" customHeight="1" x14ac:dyDescent="0.4">
      <c r="A21" s="156" t="s">
        <v>379</v>
      </c>
      <c r="B21" s="156"/>
      <c r="C21" s="156"/>
      <c r="D21" s="156"/>
      <c r="E21" s="156"/>
      <c r="G21" s="153" t="str">
        <f t="shared" si="0"/>
        <v/>
      </c>
      <c r="H21" s="202" t="b">
        <v>0</v>
      </c>
      <c r="I21" s="156" t="s">
        <v>409</v>
      </c>
      <c r="J21" s="156"/>
      <c r="K21" s="156"/>
      <c r="L21" s="156"/>
      <c r="M21" s="156"/>
      <c r="N21" s="156"/>
      <c r="P21" s="153" t="str">
        <f t="shared" si="1"/>
        <v/>
      </c>
      <c r="Q21" s="202" t="b">
        <v>0</v>
      </c>
    </row>
    <row r="22" spans="1:17" ht="21.75" customHeight="1" x14ac:dyDescent="0.4">
      <c r="A22" s="115" t="s">
        <v>380</v>
      </c>
      <c r="G22" s="153" t="str">
        <f t="shared" si="0"/>
        <v/>
      </c>
      <c r="H22" s="202" t="b">
        <v>0</v>
      </c>
      <c r="I22" s="115" t="s">
        <v>410</v>
      </c>
      <c r="P22" s="153" t="str">
        <f t="shared" si="1"/>
        <v/>
      </c>
      <c r="Q22" s="202" t="b">
        <v>0</v>
      </c>
    </row>
    <row r="23" spans="1:17" ht="21.75" customHeight="1" x14ac:dyDescent="0.4">
      <c r="A23" s="156" t="s">
        <v>381</v>
      </c>
      <c r="B23" s="156"/>
      <c r="C23" s="156"/>
      <c r="D23" s="156"/>
      <c r="E23" s="156"/>
      <c r="G23" s="153" t="str">
        <f t="shared" si="0"/>
        <v/>
      </c>
      <c r="H23" s="202" t="b">
        <v>0</v>
      </c>
      <c r="I23" s="156" t="s">
        <v>411</v>
      </c>
      <c r="J23" s="156"/>
      <c r="K23" s="156"/>
      <c r="L23" s="156"/>
      <c r="M23" s="156"/>
      <c r="N23" s="156"/>
      <c r="P23" s="153" t="str">
        <f t="shared" si="1"/>
        <v/>
      </c>
      <c r="Q23" s="202" t="b">
        <v>0</v>
      </c>
    </row>
    <row r="24" spans="1:17" ht="21.75" customHeight="1" x14ac:dyDescent="0.4">
      <c r="A24" s="115" t="s">
        <v>382</v>
      </c>
      <c r="G24" s="153" t="str">
        <f t="shared" si="0"/>
        <v/>
      </c>
      <c r="H24" s="202" t="b">
        <v>0</v>
      </c>
      <c r="I24" s="115" t="s">
        <v>412</v>
      </c>
      <c r="P24" s="153" t="str">
        <f t="shared" si="1"/>
        <v/>
      </c>
      <c r="Q24" s="202" t="b">
        <v>0</v>
      </c>
    </row>
    <row r="25" spans="1:17" ht="21.75" customHeight="1" x14ac:dyDescent="0.4">
      <c r="A25" s="156" t="s">
        <v>383</v>
      </c>
      <c r="B25" s="156"/>
      <c r="C25" s="156"/>
      <c r="D25" s="156"/>
      <c r="E25" s="156"/>
      <c r="G25" s="153" t="str">
        <f t="shared" si="0"/>
        <v/>
      </c>
      <c r="H25" s="202" t="b">
        <v>0</v>
      </c>
      <c r="I25" s="156" t="s">
        <v>413</v>
      </c>
      <c r="J25" s="156"/>
      <c r="K25" s="156"/>
      <c r="L25" s="156"/>
      <c r="M25" s="156"/>
      <c r="N25" s="156"/>
      <c r="P25" s="153" t="str">
        <f t="shared" si="1"/>
        <v/>
      </c>
      <c r="Q25" s="202" t="b">
        <v>0</v>
      </c>
    </row>
    <row r="26" spans="1:17" ht="21.75" customHeight="1" x14ac:dyDescent="0.4">
      <c r="A26" s="115" t="s">
        <v>384</v>
      </c>
      <c r="G26" s="153" t="str">
        <f t="shared" si="0"/>
        <v/>
      </c>
      <c r="H26" s="202" t="b">
        <v>0</v>
      </c>
      <c r="I26" s="115" t="s">
        <v>414</v>
      </c>
      <c r="P26" s="153" t="str">
        <f t="shared" si="1"/>
        <v/>
      </c>
      <c r="Q26" s="202" t="b">
        <v>0</v>
      </c>
    </row>
    <row r="27" spans="1:17" ht="21.75" customHeight="1" x14ac:dyDescent="0.4">
      <c r="A27" s="156" t="s">
        <v>385</v>
      </c>
      <c r="B27" s="156"/>
      <c r="C27" s="156"/>
      <c r="D27" s="156"/>
      <c r="E27" s="156"/>
      <c r="G27" s="153" t="str">
        <f t="shared" si="0"/>
        <v/>
      </c>
      <c r="H27" s="202" t="b">
        <v>0</v>
      </c>
      <c r="I27" s="156" t="s">
        <v>415</v>
      </c>
      <c r="J27" s="156"/>
      <c r="K27" s="156"/>
      <c r="L27" s="156"/>
      <c r="M27" s="156"/>
      <c r="N27" s="156"/>
      <c r="P27" s="153" t="str">
        <f t="shared" si="1"/>
        <v/>
      </c>
      <c r="Q27" s="202" t="b">
        <v>0</v>
      </c>
    </row>
    <row r="28" spans="1:17" ht="21.75" customHeight="1" x14ac:dyDescent="0.4">
      <c r="A28" s="115" t="s">
        <v>386</v>
      </c>
      <c r="G28" s="153" t="str">
        <f t="shared" si="0"/>
        <v/>
      </c>
      <c r="H28" s="202" t="b">
        <v>0</v>
      </c>
      <c r="I28" s="115" t="s">
        <v>416</v>
      </c>
      <c r="P28" s="153" t="str">
        <f t="shared" si="1"/>
        <v/>
      </c>
      <c r="Q28" s="202" t="b">
        <v>0</v>
      </c>
    </row>
    <row r="29" spans="1:17" ht="21.75" customHeight="1" x14ac:dyDescent="0.4">
      <c r="A29" s="156" t="s">
        <v>387</v>
      </c>
      <c r="B29" s="156"/>
      <c r="C29" s="156"/>
      <c r="D29" s="156"/>
      <c r="E29" s="156"/>
      <c r="G29" s="153" t="str">
        <f t="shared" si="0"/>
        <v/>
      </c>
      <c r="H29" s="202" t="b">
        <v>0</v>
      </c>
      <c r="I29" s="156" t="s">
        <v>417</v>
      </c>
      <c r="J29" s="156"/>
      <c r="K29" s="156"/>
      <c r="L29" s="156"/>
      <c r="M29" s="156"/>
      <c r="N29" s="156"/>
      <c r="P29" s="153" t="str">
        <f t="shared" si="1"/>
        <v/>
      </c>
      <c r="Q29" s="202" t="b">
        <v>0</v>
      </c>
    </row>
    <row r="30" spans="1:17" ht="21.75" customHeight="1" x14ac:dyDescent="0.4">
      <c r="A30" s="115" t="s">
        <v>388</v>
      </c>
      <c r="G30" s="153" t="str">
        <f t="shared" si="0"/>
        <v/>
      </c>
      <c r="H30" s="202" t="b">
        <v>0</v>
      </c>
      <c r="I30" s="115" t="s">
        <v>418</v>
      </c>
      <c r="P30" s="153" t="str">
        <f t="shared" si="1"/>
        <v/>
      </c>
      <c r="Q30" s="202" t="b">
        <v>0</v>
      </c>
    </row>
    <row r="31" spans="1:17" ht="21.75" customHeight="1" x14ac:dyDescent="0.4">
      <c r="A31" s="156" t="s">
        <v>389</v>
      </c>
      <c r="B31" s="156"/>
      <c r="C31" s="156"/>
      <c r="D31" s="156"/>
      <c r="E31" s="156"/>
      <c r="G31" s="153" t="str">
        <f t="shared" si="0"/>
        <v/>
      </c>
      <c r="H31" s="202" t="b">
        <v>0</v>
      </c>
      <c r="I31" s="156" t="s">
        <v>419</v>
      </c>
      <c r="J31" s="156"/>
      <c r="K31" s="156"/>
      <c r="L31" s="156"/>
      <c r="M31" s="156"/>
      <c r="N31" s="156"/>
      <c r="P31" s="153" t="str">
        <f t="shared" si="1"/>
        <v/>
      </c>
      <c r="Q31" s="202" t="b">
        <v>0</v>
      </c>
    </row>
    <row r="32" spans="1:17" ht="21.75" customHeight="1" x14ac:dyDescent="0.4">
      <c r="A32" s="115" t="s">
        <v>390</v>
      </c>
      <c r="G32" s="153" t="str">
        <f t="shared" si="0"/>
        <v/>
      </c>
      <c r="H32" s="202" t="b">
        <v>0</v>
      </c>
      <c r="I32" s="115" t="s">
        <v>420</v>
      </c>
      <c r="P32" s="153" t="str">
        <f t="shared" si="1"/>
        <v/>
      </c>
      <c r="Q32" s="202" t="b">
        <v>0</v>
      </c>
    </row>
    <row r="33" spans="1:17" ht="21.75" customHeight="1" x14ac:dyDescent="0.4">
      <c r="A33" s="156" t="s">
        <v>391</v>
      </c>
      <c r="B33" s="156"/>
      <c r="C33" s="156"/>
      <c r="D33" s="156"/>
      <c r="E33" s="156"/>
      <c r="G33" s="153" t="str">
        <f t="shared" si="0"/>
        <v/>
      </c>
      <c r="H33" s="202" t="b">
        <v>0</v>
      </c>
      <c r="I33" s="156" t="s">
        <v>421</v>
      </c>
      <c r="J33" s="156"/>
      <c r="K33" s="156"/>
      <c r="L33" s="156"/>
      <c r="M33" s="156"/>
      <c r="N33" s="156"/>
      <c r="P33" s="153" t="str">
        <f t="shared" si="1"/>
        <v/>
      </c>
      <c r="Q33" s="202" t="b">
        <v>0</v>
      </c>
    </row>
    <row r="34" spans="1:17" ht="21.75" customHeight="1" x14ac:dyDescent="0.4">
      <c r="A34" s="115" t="s">
        <v>392</v>
      </c>
      <c r="G34" s="153" t="str">
        <f t="shared" si="0"/>
        <v/>
      </c>
      <c r="H34" s="202" t="b">
        <v>0</v>
      </c>
      <c r="Q34" s="152"/>
    </row>
    <row r="36" spans="1:17" ht="13.8" x14ac:dyDescent="0.4">
      <c r="A36" s="265" t="s">
        <v>425</v>
      </c>
      <c r="B36" s="265"/>
      <c r="C36" s="265"/>
      <c r="D36" s="265"/>
      <c r="E36" s="265"/>
      <c r="F36" s="265"/>
      <c r="G36" s="265"/>
      <c r="H36" s="265"/>
      <c r="I36" s="265"/>
      <c r="J36" s="265"/>
      <c r="K36" s="265"/>
      <c r="L36" s="265"/>
      <c r="M36" s="265"/>
      <c r="N36" s="265"/>
      <c r="O36" s="265"/>
      <c r="P36" s="265"/>
    </row>
    <row r="43" spans="1:17" x14ac:dyDescent="0.4">
      <c r="B43" s="191" t="s">
        <v>422</v>
      </c>
      <c r="C43" s="191">
        <f>COUNTIF(H5:H34, "verdadeiro")+COUNTIF(Q5:Q33, "verdadeiro")</f>
        <v>0</v>
      </c>
    </row>
    <row r="44" spans="1:17" x14ac:dyDescent="0.4">
      <c r="B44" s="191" t="s">
        <v>423</v>
      </c>
      <c r="C44" s="191">
        <f>COUNTIF(H5:H34, "falso")+COUNTIF(Q5:Q33, "falsa")</f>
        <v>0</v>
      </c>
    </row>
  </sheetData>
  <sheetProtection password="CFC0" sheet="1" objects="1" scenarios="1"/>
  <mergeCells count="3">
    <mergeCell ref="A36:P36"/>
    <mergeCell ref="A1:P1"/>
    <mergeCell ref="A3:P3"/>
  </mergeCells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2770" r:id="rId3" name="Check Box 2">
              <controlPr defaultSize="0" autoFill="0" autoLine="0" autoPict="0">
                <anchor moveWithCells="1">
                  <from>
                    <xdr:col>5</xdr:col>
                    <xdr:colOff>30480</xdr:colOff>
                    <xdr:row>4</xdr:row>
                    <xdr:rowOff>11430</xdr:rowOff>
                  </from>
                  <to>
                    <xdr:col>5</xdr:col>
                    <xdr:colOff>152400</xdr:colOff>
                    <xdr:row>4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1" r:id="rId4" name="Check Box 3">
              <controlPr defaultSize="0" autoFill="0" autoLine="0" autoPict="0">
                <anchor moveWithCells="1">
                  <from>
                    <xdr:col>5</xdr:col>
                    <xdr:colOff>30480</xdr:colOff>
                    <xdr:row>5</xdr:row>
                    <xdr:rowOff>11430</xdr:rowOff>
                  </from>
                  <to>
                    <xdr:col>5</xdr:col>
                    <xdr:colOff>152400</xdr:colOff>
                    <xdr:row>5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2" r:id="rId5" name="Check Box 4">
              <controlPr defaultSize="0" autoFill="0" autoLine="0" autoPict="0">
                <anchor moveWithCells="1">
                  <from>
                    <xdr:col>5</xdr:col>
                    <xdr:colOff>30480</xdr:colOff>
                    <xdr:row>6</xdr:row>
                    <xdr:rowOff>11430</xdr:rowOff>
                  </from>
                  <to>
                    <xdr:col>5</xdr:col>
                    <xdr:colOff>152400</xdr:colOff>
                    <xdr:row>6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3" r:id="rId6" name="Check Box 5">
              <controlPr defaultSize="0" autoFill="0" autoLine="0" autoPict="0">
                <anchor moveWithCells="1">
                  <from>
                    <xdr:col>5</xdr:col>
                    <xdr:colOff>30480</xdr:colOff>
                    <xdr:row>7</xdr:row>
                    <xdr:rowOff>11430</xdr:rowOff>
                  </from>
                  <to>
                    <xdr:col>5</xdr:col>
                    <xdr:colOff>152400</xdr:colOff>
                    <xdr:row>7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4" r:id="rId7" name="Check Box 6">
              <controlPr defaultSize="0" autoFill="0" autoLine="0" autoPict="0">
                <anchor moveWithCells="1">
                  <from>
                    <xdr:col>5</xdr:col>
                    <xdr:colOff>30480</xdr:colOff>
                    <xdr:row>8</xdr:row>
                    <xdr:rowOff>11430</xdr:rowOff>
                  </from>
                  <to>
                    <xdr:col>5</xdr:col>
                    <xdr:colOff>152400</xdr:colOff>
                    <xdr:row>8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5" r:id="rId8" name="Check Box 7">
              <controlPr defaultSize="0" autoFill="0" autoLine="0" autoPict="0">
                <anchor moveWithCells="1">
                  <from>
                    <xdr:col>5</xdr:col>
                    <xdr:colOff>30480</xdr:colOff>
                    <xdr:row>9</xdr:row>
                    <xdr:rowOff>11430</xdr:rowOff>
                  </from>
                  <to>
                    <xdr:col>5</xdr:col>
                    <xdr:colOff>152400</xdr:colOff>
                    <xdr:row>9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6" r:id="rId9" name="Check Box 8">
              <controlPr defaultSize="0" autoFill="0" autoLine="0" autoPict="0">
                <anchor moveWithCells="1">
                  <from>
                    <xdr:col>5</xdr:col>
                    <xdr:colOff>30480</xdr:colOff>
                    <xdr:row>10</xdr:row>
                    <xdr:rowOff>11430</xdr:rowOff>
                  </from>
                  <to>
                    <xdr:col>5</xdr:col>
                    <xdr:colOff>152400</xdr:colOff>
                    <xdr:row>10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7" r:id="rId10" name="Check Box 9">
              <controlPr defaultSize="0" autoFill="0" autoLine="0" autoPict="0">
                <anchor moveWithCells="1">
                  <from>
                    <xdr:col>5</xdr:col>
                    <xdr:colOff>30480</xdr:colOff>
                    <xdr:row>11</xdr:row>
                    <xdr:rowOff>11430</xdr:rowOff>
                  </from>
                  <to>
                    <xdr:col>5</xdr:col>
                    <xdr:colOff>152400</xdr:colOff>
                    <xdr:row>11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8" r:id="rId11" name="Check Box 10">
              <controlPr defaultSize="0" autoFill="0" autoLine="0" autoPict="0">
                <anchor moveWithCells="1">
                  <from>
                    <xdr:col>5</xdr:col>
                    <xdr:colOff>30480</xdr:colOff>
                    <xdr:row>12</xdr:row>
                    <xdr:rowOff>11430</xdr:rowOff>
                  </from>
                  <to>
                    <xdr:col>5</xdr:col>
                    <xdr:colOff>152400</xdr:colOff>
                    <xdr:row>12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9" r:id="rId12" name="Check Box 11">
              <controlPr defaultSize="0" autoFill="0" autoLine="0" autoPict="0">
                <anchor moveWithCells="1">
                  <from>
                    <xdr:col>5</xdr:col>
                    <xdr:colOff>30480</xdr:colOff>
                    <xdr:row>13</xdr:row>
                    <xdr:rowOff>11430</xdr:rowOff>
                  </from>
                  <to>
                    <xdr:col>5</xdr:col>
                    <xdr:colOff>152400</xdr:colOff>
                    <xdr:row>13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80" r:id="rId13" name="Check Box 12">
              <controlPr defaultSize="0" autoFill="0" autoLine="0" autoPict="0">
                <anchor moveWithCells="1">
                  <from>
                    <xdr:col>5</xdr:col>
                    <xdr:colOff>30480</xdr:colOff>
                    <xdr:row>14</xdr:row>
                    <xdr:rowOff>11430</xdr:rowOff>
                  </from>
                  <to>
                    <xdr:col>5</xdr:col>
                    <xdr:colOff>152400</xdr:colOff>
                    <xdr:row>14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81" r:id="rId14" name="Check Box 13">
              <controlPr defaultSize="0" autoFill="0" autoLine="0" autoPict="0">
                <anchor moveWithCells="1">
                  <from>
                    <xdr:col>5</xdr:col>
                    <xdr:colOff>30480</xdr:colOff>
                    <xdr:row>15</xdr:row>
                    <xdr:rowOff>11430</xdr:rowOff>
                  </from>
                  <to>
                    <xdr:col>5</xdr:col>
                    <xdr:colOff>152400</xdr:colOff>
                    <xdr:row>15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82" r:id="rId15" name="Check Box 14">
              <controlPr defaultSize="0" autoFill="0" autoLine="0" autoPict="0">
                <anchor moveWithCells="1">
                  <from>
                    <xdr:col>5</xdr:col>
                    <xdr:colOff>30480</xdr:colOff>
                    <xdr:row>16</xdr:row>
                    <xdr:rowOff>11430</xdr:rowOff>
                  </from>
                  <to>
                    <xdr:col>5</xdr:col>
                    <xdr:colOff>152400</xdr:colOff>
                    <xdr:row>16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83" r:id="rId16" name="Check Box 15">
              <controlPr defaultSize="0" autoFill="0" autoLine="0" autoPict="0">
                <anchor moveWithCells="1">
                  <from>
                    <xdr:col>5</xdr:col>
                    <xdr:colOff>30480</xdr:colOff>
                    <xdr:row>17</xdr:row>
                    <xdr:rowOff>11430</xdr:rowOff>
                  </from>
                  <to>
                    <xdr:col>5</xdr:col>
                    <xdr:colOff>152400</xdr:colOff>
                    <xdr:row>17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84" r:id="rId17" name="Check Box 16">
              <controlPr defaultSize="0" autoFill="0" autoLine="0" autoPict="0">
                <anchor moveWithCells="1">
                  <from>
                    <xdr:col>5</xdr:col>
                    <xdr:colOff>30480</xdr:colOff>
                    <xdr:row>18</xdr:row>
                    <xdr:rowOff>11430</xdr:rowOff>
                  </from>
                  <to>
                    <xdr:col>5</xdr:col>
                    <xdr:colOff>152400</xdr:colOff>
                    <xdr:row>18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85" r:id="rId18" name="Check Box 17">
              <controlPr defaultSize="0" autoFill="0" autoLine="0" autoPict="0">
                <anchor moveWithCells="1">
                  <from>
                    <xdr:col>5</xdr:col>
                    <xdr:colOff>30480</xdr:colOff>
                    <xdr:row>19</xdr:row>
                    <xdr:rowOff>11430</xdr:rowOff>
                  </from>
                  <to>
                    <xdr:col>5</xdr:col>
                    <xdr:colOff>152400</xdr:colOff>
                    <xdr:row>19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86" r:id="rId19" name="Check Box 18">
              <controlPr defaultSize="0" autoFill="0" autoLine="0" autoPict="0">
                <anchor moveWithCells="1">
                  <from>
                    <xdr:col>5</xdr:col>
                    <xdr:colOff>30480</xdr:colOff>
                    <xdr:row>20</xdr:row>
                    <xdr:rowOff>11430</xdr:rowOff>
                  </from>
                  <to>
                    <xdr:col>5</xdr:col>
                    <xdr:colOff>152400</xdr:colOff>
                    <xdr:row>20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87" r:id="rId20" name="Check Box 19">
              <controlPr defaultSize="0" autoFill="0" autoLine="0" autoPict="0">
                <anchor moveWithCells="1">
                  <from>
                    <xdr:col>5</xdr:col>
                    <xdr:colOff>30480</xdr:colOff>
                    <xdr:row>21</xdr:row>
                    <xdr:rowOff>11430</xdr:rowOff>
                  </from>
                  <to>
                    <xdr:col>5</xdr:col>
                    <xdr:colOff>152400</xdr:colOff>
                    <xdr:row>21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88" r:id="rId21" name="Check Box 20">
              <controlPr defaultSize="0" autoFill="0" autoLine="0" autoPict="0">
                <anchor moveWithCells="1">
                  <from>
                    <xdr:col>5</xdr:col>
                    <xdr:colOff>30480</xdr:colOff>
                    <xdr:row>22</xdr:row>
                    <xdr:rowOff>11430</xdr:rowOff>
                  </from>
                  <to>
                    <xdr:col>5</xdr:col>
                    <xdr:colOff>152400</xdr:colOff>
                    <xdr:row>22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89" r:id="rId22" name="Check Box 21">
              <controlPr defaultSize="0" autoFill="0" autoLine="0" autoPict="0">
                <anchor moveWithCells="1">
                  <from>
                    <xdr:col>5</xdr:col>
                    <xdr:colOff>30480</xdr:colOff>
                    <xdr:row>23</xdr:row>
                    <xdr:rowOff>11430</xdr:rowOff>
                  </from>
                  <to>
                    <xdr:col>5</xdr:col>
                    <xdr:colOff>152400</xdr:colOff>
                    <xdr:row>23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90" r:id="rId23" name="Check Box 22">
              <controlPr defaultSize="0" autoFill="0" autoLine="0" autoPict="0">
                <anchor moveWithCells="1">
                  <from>
                    <xdr:col>5</xdr:col>
                    <xdr:colOff>30480</xdr:colOff>
                    <xdr:row>24</xdr:row>
                    <xdr:rowOff>11430</xdr:rowOff>
                  </from>
                  <to>
                    <xdr:col>5</xdr:col>
                    <xdr:colOff>152400</xdr:colOff>
                    <xdr:row>24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91" r:id="rId24" name="Check Box 23">
              <controlPr defaultSize="0" autoFill="0" autoLine="0" autoPict="0">
                <anchor moveWithCells="1">
                  <from>
                    <xdr:col>5</xdr:col>
                    <xdr:colOff>30480</xdr:colOff>
                    <xdr:row>25</xdr:row>
                    <xdr:rowOff>11430</xdr:rowOff>
                  </from>
                  <to>
                    <xdr:col>5</xdr:col>
                    <xdr:colOff>152400</xdr:colOff>
                    <xdr:row>25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92" r:id="rId25" name="Check Box 24">
              <controlPr defaultSize="0" autoFill="0" autoLine="0" autoPict="0">
                <anchor moveWithCells="1">
                  <from>
                    <xdr:col>5</xdr:col>
                    <xdr:colOff>30480</xdr:colOff>
                    <xdr:row>26</xdr:row>
                    <xdr:rowOff>11430</xdr:rowOff>
                  </from>
                  <to>
                    <xdr:col>5</xdr:col>
                    <xdr:colOff>152400</xdr:colOff>
                    <xdr:row>26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93" r:id="rId26" name="Check Box 25">
              <controlPr defaultSize="0" autoFill="0" autoLine="0" autoPict="0">
                <anchor moveWithCells="1">
                  <from>
                    <xdr:col>5</xdr:col>
                    <xdr:colOff>30480</xdr:colOff>
                    <xdr:row>27</xdr:row>
                    <xdr:rowOff>11430</xdr:rowOff>
                  </from>
                  <to>
                    <xdr:col>5</xdr:col>
                    <xdr:colOff>152400</xdr:colOff>
                    <xdr:row>27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94" r:id="rId27" name="Check Box 26">
              <controlPr defaultSize="0" autoFill="0" autoLine="0" autoPict="0">
                <anchor moveWithCells="1">
                  <from>
                    <xdr:col>5</xdr:col>
                    <xdr:colOff>30480</xdr:colOff>
                    <xdr:row>28</xdr:row>
                    <xdr:rowOff>11430</xdr:rowOff>
                  </from>
                  <to>
                    <xdr:col>5</xdr:col>
                    <xdr:colOff>152400</xdr:colOff>
                    <xdr:row>28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95" r:id="rId28" name="Check Box 27">
              <controlPr defaultSize="0" autoFill="0" autoLine="0" autoPict="0">
                <anchor moveWithCells="1">
                  <from>
                    <xdr:col>5</xdr:col>
                    <xdr:colOff>30480</xdr:colOff>
                    <xdr:row>29</xdr:row>
                    <xdr:rowOff>11430</xdr:rowOff>
                  </from>
                  <to>
                    <xdr:col>5</xdr:col>
                    <xdr:colOff>152400</xdr:colOff>
                    <xdr:row>29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96" r:id="rId29" name="Check Box 28">
              <controlPr defaultSize="0" autoFill="0" autoLine="0" autoPict="0">
                <anchor moveWithCells="1">
                  <from>
                    <xdr:col>5</xdr:col>
                    <xdr:colOff>30480</xdr:colOff>
                    <xdr:row>30</xdr:row>
                    <xdr:rowOff>11430</xdr:rowOff>
                  </from>
                  <to>
                    <xdr:col>5</xdr:col>
                    <xdr:colOff>152400</xdr:colOff>
                    <xdr:row>30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97" r:id="rId30" name="Check Box 29">
              <controlPr defaultSize="0" autoFill="0" autoLine="0" autoPict="0">
                <anchor moveWithCells="1">
                  <from>
                    <xdr:col>5</xdr:col>
                    <xdr:colOff>30480</xdr:colOff>
                    <xdr:row>31</xdr:row>
                    <xdr:rowOff>11430</xdr:rowOff>
                  </from>
                  <to>
                    <xdr:col>5</xdr:col>
                    <xdr:colOff>152400</xdr:colOff>
                    <xdr:row>31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98" r:id="rId31" name="Check Box 30">
              <controlPr defaultSize="0" autoFill="0" autoLine="0" autoPict="0">
                <anchor moveWithCells="1">
                  <from>
                    <xdr:col>5</xdr:col>
                    <xdr:colOff>30480</xdr:colOff>
                    <xdr:row>32</xdr:row>
                    <xdr:rowOff>11430</xdr:rowOff>
                  </from>
                  <to>
                    <xdr:col>5</xdr:col>
                    <xdr:colOff>152400</xdr:colOff>
                    <xdr:row>32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99" r:id="rId32" name="Check Box 31">
              <controlPr defaultSize="0" autoFill="0" autoLine="0" autoPict="0">
                <anchor moveWithCells="1">
                  <from>
                    <xdr:col>5</xdr:col>
                    <xdr:colOff>30480</xdr:colOff>
                    <xdr:row>33</xdr:row>
                    <xdr:rowOff>11430</xdr:rowOff>
                  </from>
                  <to>
                    <xdr:col>5</xdr:col>
                    <xdr:colOff>152400</xdr:colOff>
                    <xdr:row>33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00" r:id="rId33" name="Check Box 32">
              <controlPr defaultSize="0" autoFill="0" autoLine="0" autoPict="0">
                <anchor moveWithCells="1">
                  <from>
                    <xdr:col>14</xdr:col>
                    <xdr:colOff>30480</xdr:colOff>
                    <xdr:row>4</xdr:row>
                    <xdr:rowOff>11430</xdr:rowOff>
                  </from>
                  <to>
                    <xdr:col>14</xdr:col>
                    <xdr:colOff>152400</xdr:colOff>
                    <xdr:row>4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01" r:id="rId34" name="Check Box 33">
              <controlPr defaultSize="0" autoFill="0" autoLine="0" autoPict="0">
                <anchor moveWithCells="1">
                  <from>
                    <xdr:col>14</xdr:col>
                    <xdr:colOff>30480</xdr:colOff>
                    <xdr:row>5</xdr:row>
                    <xdr:rowOff>11430</xdr:rowOff>
                  </from>
                  <to>
                    <xdr:col>14</xdr:col>
                    <xdr:colOff>152400</xdr:colOff>
                    <xdr:row>5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02" r:id="rId35" name="Check Box 34">
              <controlPr defaultSize="0" autoFill="0" autoLine="0" autoPict="0">
                <anchor moveWithCells="1">
                  <from>
                    <xdr:col>14</xdr:col>
                    <xdr:colOff>30480</xdr:colOff>
                    <xdr:row>6</xdr:row>
                    <xdr:rowOff>11430</xdr:rowOff>
                  </from>
                  <to>
                    <xdr:col>14</xdr:col>
                    <xdr:colOff>152400</xdr:colOff>
                    <xdr:row>6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03" r:id="rId36" name="Check Box 35">
              <controlPr defaultSize="0" autoFill="0" autoLine="0" autoPict="0">
                <anchor moveWithCells="1">
                  <from>
                    <xdr:col>14</xdr:col>
                    <xdr:colOff>30480</xdr:colOff>
                    <xdr:row>7</xdr:row>
                    <xdr:rowOff>11430</xdr:rowOff>
                  </from>
                  <to>
                    <xdr:col>14</xdr:col>
                    <xdr:colOff>152400</xdr:colOff>
                    <xdr:row>7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04" r:id="rId37" name="Check Box 36">
              <controlPr defaultSize="0" autoFill="0" autoLine="0" autoPict="0">
                <anchor moveWithCells="1">
                  <from>
                    <xdr:col>14</xdr:col>
                    <xdr:colOff>30480</xdr:colOff>
                    <xdr:row>8</xdr:row>
                    <xdr:rowOff>11430</xdr:rowOff>
                  </from>
                  <to>
                    <xdr:col>14</xdr:col>
                    <xdr:colOff>152400</xdr:colOff>
                    <xdr:row>8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05" r:id="rId38" name="Check Box 37">
              <controlPr defaultSize="0" autoFill="0" autoLine="0" autoPict="0">
                <anchor moveWithCells="1">
                  <from>
                    <xdr:col>14</xdr:col>
                    <xdr:colOff>30480</xdr:colOff>
                    <xdr:row>9</xdr:row>
                    <xdr:rowOff>11430</xdr:rowOff>
                  </from>
                  <to>
                    <xdr:col>14</xdr:col>
                    <xdr:colOff>152400</xdr:colOff>
                    <xdr:row>9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06" r:id="rId39" name="Check Box 38">
              <controlPr defaultSize="0" autoFill="0" autoLine="0" autoPict="0">
                <anchor moveWithCells="1">
                  <from>
                    <xdr:col>14</xdr:col>
                    <xdr:colOff>30480</xdr:colOff>
                    <xdr:row>10</xdr:row>
                    <xdr:rowOff>11430</xdr:rowOff>
                  </from>
                  <to>
                    <xdr:col>14</xdr:col>
                    <xdr:colOff>152400</xdr:colOff>
                    <xdr:row>10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07" r:id="rId40" name="Check Box 39">
              <controlPr defaultSize="0" autoFill="0" autoLine="0" autoPict="0">
                <anchor moveWithCells="1">
                  <from>
                    <xdr:col>14</xdr:col>
                    <xdr:colOff>30480</xdr:colOff>
                    <xdr:row>11</xdr:row>
                    <xdr:rowOff>11430</xdr:rowOff>
                  </from>
                  <to>
                    <xdr:col>14</xdr:col>
                    <xdr:colOff>152400</xdr:colOff>
                    <xdr:row>11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08" r:id="rId41" name="Check Box 40">
              <controlPr defaultSize="0" autoFill="0" autoLine="0" autoPict="0">
                <anchor moveWithCells="1">
                  <from>
                    <xdr:col>14</xdr:col>
                    <xdr:colOff>30480</xdr:colOff>
                    <xdr:row>12</xdr:row>
                    <xdr:rowOff>11430</xdr:rowOff>
                  </from>
                  <to>
                    <xdr:col>14</xdr:col>
                    <xdr:colOff>152400</xdr:colOff>
                    <xdr:row>12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09" r:id="rId42" name="Check Box 41">
              <controlPr defaultSize="0" autoFill="0" autoLine="0" autoPict="0">
                <anchor moveWithCells="1">
                  <from>
                    <xdr:col>14</xdr:col>
                    <xdr:colOff>30480</xdr:colOff>
                    <xdr:row>13</xdr:row>
                    <xdr:rowOff>11430</xdr:rowOff>
                  </from>
                  <to>
                    <xdr:col>14</xdr:col>
                    <xdr:colOff>152400</xdr:colOff>
                    <xdr:row>13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10" r:id="rId43" name="Check Box 42">
              <controlPr defaultSize="0" autoFill="0" autoLine="0" autoPict="0">
                <anchor moveWithCells="1">
                  <from>
                    <xdr:col>14</xdr:col>
                    <xdr:colOff>30480</xdr:colOff>
                    <xdr:row>14</xdr:row>
                    <xdr:rowOff>11430</xdr:rowOff>
                  </from>
                  <to>
                    <xdr:col>14</xdr:col>
                    <xdr:colOff>152400</xdr:colOff>
                    <xdr:row>14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11" r:id="rId44" name="Check Box 43">
              <controlPr defaultSize="0" autoFill="0" autoLine="0" autoPict="0">
                <anchor moveWithCells="1">
                  <from>
                    <xdr:col>14</xdr:col>
                    <xdr:colOff>30480</xdr:colOff>
                    <xdr:row>15</xdr:row>
                    <xdr:rowOff>11430</xdr:rowOff>
                  </from>
                  <to>
                    <xdr:col>14</xdr:col>
                    <xdr:colOff>152400</xdr:colOff>
                    <xdr:row>15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12" r:id="rId45" name="Check Box 44">
              <controlPr defaultSize="0" autoFill="0" autoLine="0" autoPict="0">
                <anchor moveWithCells="1">
                  <from>
                    <xdr:col>14</xdr:col>
                    <xdr:colOff>30480</xdr:colOff>
                    <xdr:row>16</xdr:row>
                    <xdr:rowOff>11430</xdr:rowOff>
                  </from>
                  <to>
                    <xdr:col>14</xdr:col>
                    <xdr:colOff>152400</xdr:colOff>
                    <xdr:row>16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13" r:id="rId46" name="Check Box 45">
              <controlPr defaultSize="0" autoFill="0" autoLine="0" autoPict="0">
                <anchor moveWithCells="1">
                  <from>
                    <xdr:col>14</xdr:col>
                    <xdr:colOff>30480</xdr:colOff>
                    <xdr:row>17</xdr:row>
                    <xdr:rowOff>11430</xdr:rowOff>
                  </from>
                  <to>
                    <xdr:col>14</xdr:col>
                    <xdr:colOff>152400</xdr:colOff>
                    <xdr:row>17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14" r:id="rId47" name="Check Box 46">
              <controlPr defaultSize="0" autoFill="0" autoLine="0" autoPict="0">
                <anchor moveWithCells="1">
                  <from>
                    <xdr:col>14</xdr:col>
                    <xdr:colOff>30480</xdr:colOff>
                    <xdr:row>18</xdr:row>
                    <xdr:rowOff>11430</xdr:rowOff>
                  </from>
                  <to>
                    <xdr:col>14</xdr:col>
                    <xdr:colOff>152400</xdr:colOff>
                    <xdr:row>18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15" r:id="rId48" name="Check Box 47">
              <controlPr defaultSize="0" autoFill="0" autoLine="0" autoPict="0">
                <anchor moveWithCells="1">
                  <from>
                    <xdr:col>14</xdr:col>
                    <xdr:colOff>30480</xdr:colOff>
                    <xdr:row>19</xdr:row>
                    <xdr:rowOff>11430</xdr:rowOff>
                  </from>
                  <to>
                    <xdr:col>14</xdr:col>
                    <xdr:colOff>152400</xdr:colOff>
                    <xdr:row>19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16" r:id="rId49" name="Check Box 48">
              <controlPr defaultSize="0" autoFill="0" autoLine="0" autoPict="0">
                <anchor moveWithCells="1">
                  <from>
                    <xdr:col>14</xdr:col>
                    <xdr:colOff>30480</xdr:colOff>
                    <xdr:row>20</xdr:row>
                    <xdr:rowOff>11430</xdr:rowOff>
                  </from>
                  <to>
                    <xdr:col>14</xdr:col>
                    <xdr:colOff>152400</xdr:colOff>
                    <xdr:row>20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17" r:id="rId50" name="Check Box 49">
              <controlPr defaultSize="0" autoFill="0" autoLine="0" autoPict="0">
                <anchor moveWithCells="1">
                  <from>
                    <xdr:col>14</xdr:col>
                    <xdr:colOff>30480</xdr:colOff>
                    <xdr:row>21</xdr:row>
                    <xdr:rowOff>11430</xdr:rowOff>
                  </from>
                  <to>
                    <xdr:col>14</xdr:col>
                    <xdr:colOff>152400</xdr:colOff>
                    <xdr:row>21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18" r:id="rId51" name="Check Box 50">
              <controlPr defaultSize="0" autoFill="0" autoLine="0" autoPict="0">
                <anchor moveWithCells="1">
                  <from>
                    <xdr:col>14</xdr:col>
                    <xdr:colOff>30480</xdr:colOff>
                    <xdr:row>22</xdr:row>
                    <xdr:rowOff>11430</xdr:rowOff>
                  </from>
                  <to>
                    <xdr:col>14</xdr:col>
                    <xdr:colOff>152400</xdr:colOff>
                    <xdr:row>22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19" r:id="rId52" name="Check Box 51">
              <controlPr defaultSize="0" autoFill="0" autoLine="0" autoPict="0">
                <anchor moveWithCells="1">
                  <from>
                    <xdr:col>14</xdr:col>
                    <xdr:colOff>30480</xdr:colOff>
                    <xdr:row>23</xdr:row>
                    <xdr:rowOff>11430</xdr:rowOff>
                  </from>
                  <to>
                    <xdr:col>14</xdr:col>
                    <xdr:colOff>152400</xdr:colOff>
                    <xdr:row>23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20" r:id="rId53" name="Check Box 52">
              <controlPr defaultSize="0" autoFill="0" autoLine="0" autoPict="0">
                <anchor moveWithCells="1">
                  <from>
                    <xdr:col>14</xdr:col>
                    <xdr:colOff>30480</xdr:colOff>
                    <xdr:row>24</xdr:row>
                    <xdr:rowOff>11430</xdr:rowOff>
                  </from>
                  <to>
                    <xdr:col>14</xdr:col>
                    <xdr:colOff>152400</xdr:colOff>
                    <xdr:row>24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21" r:id="rId54" name="Check Box 53">
              <controlPr defaultSize="0" autoFill="0" autoLine="0" autoPict="0">
                <anchor moveWithCells="1">
                  <from>
                    <xdr:col>14</xdr:col>
                    <xdr:colOff>30480</xdr:colOff>
                    <xdr:row>25</xdr:row>
                    <xdr:rowOff>11430</xdr:rowOff>
                  </from>
                  <to>
                    <xdr:col>14</xdr:col>
                    <xdr:colOff>152400</xdr:colOff>
                    <xdr:row>25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22" r:id="rId55" name="Check Box 54">
              <controlPr defaultSize="0" autoFill="0" autoLine="0" autoPict="0">
                <anchor moveWithCells="1">
                  <from>
                    <xdr:col>14</xdr:col>
                    <xdr:colOff>30480</xdr:colOff>
                    <xdr:row>26</xdr:row>
                    <xdr:rowOff>11430</xdr:rowOff>
                  </from>
                  <to>
                    <xdr:col>14</xdr:col>
                    <xdr:colOff>152400</xdr:colOff>
                    <xdr:row>26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23" r:id="rId56" name="Check Box 55">
              <controlPr defaultSize="0" autoFill="0" autoLine="0" autoPict="0">
                <anchor moveWithCells="1">
                  <from>
                    <xdr:col>14</xdr:col>
                    <xdr:colOff>30480</xdr:colOff>
                    <xdr:row>27</xdr:row>
                    <xdr:rowOff>11430</xdr:rowOff>
                  </from>
                  <to>
                    <xdr:col>14</xdr:col>
                    <xdr:colOff>152400</xdr:colOff>
                    <xdr:row>27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24" r:id="rId57" name="Check Box 56">
              <controlPr defaultSize="0" autoFill="0" autoLine="0" autoPict="0">
                <anchor moveWithCells="1">
                  <from>
                    <xdr:col>14</xdr:col>
                    <xdr:colOff>30480</xdr:colOff>
                    <xdr:row>28</xdr:row>
                    <xdr:rowOff>11430</xdr:rowOff>
                  </from>
                  <to>
                    <xdr:col>14</xdr:col>
                    <xdr:colOff>152400</xdr:colOff>
                    <xdr:row>28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25" r:id="rId58" name="Check Box 57">
              <controlPr defaultSize="0" autoFill="0" autoLine="0" autoPict="0">
                <anchor moveWithCells="1">
                  <from>
                    <xdr:col>14</xdr:col>
                    <xdr:colOff>30480</xdr:colOff>
                    <xdr:row>29</xdr:row>
                    <xdr:rowOff>11430</xdr:rowOff>
                  </from>
                  <to>
                    <xdr:col>14</xdr:col>
                    <xdr:colOff>152400</xdr:colOff>
                    <xdr:row>29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26" r:id="rId59" name="Check Box 58">
              <controlPr defaultSize="0" autoFill="0" autoLine="0" autoPict="0">
                <anchor moveWithCells="1">
                  <from>
                    <xdr:col>14</xdr:col>
                    <xdr:colOff>30480</xdr:colOff>
                    <xdr:row>30</xdr:row>
                    <xdr:rowOff>11430</xdr:rowOff>
                  </from>
                  <to>
                    <xdr:col>14</xdr:col>
                    <xdr:colOff>152400</xdr:colOff>
                    <xdr:row>30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27" r:id="rId60" name="Check Box 59">
              <controlPr defaultSize="0" autoFill="0" autoLine="0" autoPict="0">
                <anchor moveWithCells="1">
                  <from>
                    <xdr:col>14</xdr:col>
                    <xdr:colOff>30480</xdr:colOff>
                    <xdr:row>31</xdr:row>
                    <xdr:rowOff>11430</xdr:rowOff>
                  </from>
                  <to>
                    <xdr:col>14</xdr:col>
                    <xdr:colOff>152400</xdr:colOff>
                    <xdr:row>31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28" r:id="rId61" name="Check Box 60">
              <controlPr defaultSize="0" autoFill="0" autoLine="0" autoPict="0">
                <anchor moveWithCells="1">
                  <from>
                    <xdr:col>14</xdr:col>
                    <xdr:colOff>30480</xdr:colOff>
                    <xdr:row>32</xdr:row>
                    <xdr:rowOff>11430</xdr:rowOff>
                  </from>
                  <to>
                    <xdr:col>14</xdr:col>
                    <xdr:colOff>152400</xdr:colOff>
                    <xdr:row>32</xdr:row>
                    <xdr:rowOff>99060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45"/>
  <sheetViews>
    <sheetView showGridLines="0" workbookViewId="0">
      <pane ySplit="1" topLeftCell="A2" activePane="bottomLeft" state="frozen"/>
      <selection pane="bottomLeft" activeCell="E21" sqref="E21"/>
    </sheetView>
  </sheetViews>
  <sheetFormatPr defaultRowHeight="12.3" x14ac:dyDescent="0.4"/>
  <cols>
    <col min="1" max="1" width="54.83203125" customWidth="1"/>
    <col min="2" max="2" width="13.71875" customWidth="1"/>
    <col min="3" max="3" width="35" customWidth="1"/>
    <col min="4" max="4" width="11" customWidth="1"/>
    <col min="5" max="5" width="11.27734375" customWidth="1"/>
    <col min="7" max="7" width="6.27734375" style="35" hidden="1" customWidth="1"/>
    <col min="8" max="21" width="6.27734375" style="3" hidden="1" customWidth="1"/>
    <col min="22" max="22" width="2.27734375" customWidth="1"/>
    <col min="23" max="23" width="15.5546875" customWidth="1"/>
    <col min="24" max="24" width="9.1640625" style="2"/>
  </cols>
  <sheetData>
    <row r="1" spans="1:24" ht="17.7" x14ac:dyDescent="0.4">
      <c r="A1" s="216" t="s">
        <v>526</v>
      </c>
      <c r="B1" s="216"/>
      <c r="C1" s="216"/>
      <c r="D1" s="216"/>
      <c r="E1" s="216"/>
      <c r="F1" s="111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</row>
    <row r="2" spans="1:24" ht="6" customHeight="1" x14ac:dyDescent="0.4"/>
    <row r="3" spans="1:24" ht="36" customHeight="1" x14ac:dyDescent="0.4">
      <c r="A3" s="264" t="s">
        <v>426</v>
      </c>
      <c r="B3" s="264"/>
      <c r="C3" s="264"/>
      <c r="D3" s="264"/>
      <c r="E3" s="264"/>
      <c r="F3" s="147"/>
      <c r="G3" s="186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</row>
    <row r="4" spans="1:24" ht="6" customHeight="1" x14ac:dyDescent="0.4"/>
    <row r="5" spans="1:24" s="115" customFormat="1" ht="30.75" customHeight="1" x14ac:dyDescent="0.4">
      <c r="A5" s="263" t="s">
        <v>427</v>
      </c>
      <c r="B5" s="263"/>
      <c r="C5" s="263"/>
      <c r="D5" s="263"/>
      <c r="E5" s="154"/>
      <c r="G5" s="36">
        <v>1</v>
      </c>
      <c r="H5" s="36">
        <v>1</v>
      </c>
      <c r="I5" s="36">
        <v>1</v>
      </c>
      <c r="J5" s="36">
        <v>1</v>
      </c>
      <c r="K5" s="36">
        <v>1</v>
      </c>
      <c r="L5" s="36">
        <v>1</v>
      </c>
      <c r="M5" s="36">
        <v>1</v>
      </c>
      <c r="N5" s="36">
        <v>1</v>
      </c>
      <c r="O5" s="36">
        <v>1</v>
      </c>
      <c r="P5" s="36">
        <v>1</v>
      </c>
      <c r="Q5" s="36">
        <v>1</v>
      </c>
      <c r="R5" s="36">
        <v>1</v>
      </c>
      <c r="S5" s="36">
        <v>1</v>
      </c>
      <c r="T5" s="36">
        <v>1</v>
      </c>
      <c r="U5" s="36">
        <v>1</v>
      </c>
      <c r="W5" s="69" t="s">
        <v>442</v>
      </c>
      <c r="X5" s="203">
        <f>((G$5-1)*25)/100</f>
        <v>0</v>
      </c>
    </row>
    <row r="6" spans="1:24" s="115" customFormat="1" ht="30.75" customHeight="1" x14ac:dyDescent="0.4">
      <c r="A6" s="262" t="s">
        <v>428</v>
      </c>
      <c r="B6" s="262"/>
      <c r="C6" s="262"/>
      <c r="D6" s="262"/>
      <c r="G6" s="188">
        <v>0</v>
      </c>
      <c r="H6" s="188">
        <v>0</v>
      </c>
      <c r="I6" s="188">
        <v>0</v>
      </c>
      <c r="J6" s="188">
        <v>0</v>
      </c>
      <c r="K6" s="188">
        <v>0</v>
      </c>
      <c r="L6" s="188">
        <v>0</v>
      </c>
      <c r="M6" s="188">
        <v>0</v>
      </c>
      <c r="N6" s="188">
        <v>0</v>
      </c>
      <c r="O6" s="188">
        <v>0</v>
      </c>
      <c r="P6" s="188">
        <v>0</v>
      </c>
      <c r="Q6" s="188">
        <v>0</v>
      </c>
      <c r="R6" s="188">
        <v>0</v>
      </c>
      <c r="S6" s="188">
        <v>0</v>
      </c>
      <c r="T6" s="188">
        <v>0</v>
      </c>
      <c r="U6" s="188">
        <v>0</v>
      </c>
      <c r="W6" s="69" t="s">
        <v>443</v>
      </c>
      <c r="X6" s="203">
        <f>((H$5-1)*25)/100</f>
        <v>0</v>
      </c>
    </row>
    <row r="7" spans="1:24" s="115" customFormat="1" ht="30.75" customHeight="1" x14ac:dyDescent="0.4">
      <c r="A7" s="263" t="s">
        <v>429</v>
      </c>
      <c r="B7" s="263"/>
      <c r="C7" s="263"/>
      <c r="D7" s="263"/>
      <c r="E7" s="154"/>
      <c r="G7" s="188">
        <v>0.25</v>
      </c>
      <c r="H7" s="188">
        <v>0.25</v>
      </c>
      <c r="I7" s="188">
        <v>0.25</v>
      </c>
      <c r="J7" s="188">
        <v>0.25</v>
      </c>
      <c r="K7" s="188">
        <v>0.25</v>
      </c>
      <c r="L7" s="188">
        <v>0.25</v>
      </c>
      <c r="M7" s="188">
        <v>0.25</v>
      </c>
      <c r="N7" s="188">
        <v>0.25</v>
      </c>
      <c r="O7" s="188">
        <v>0.25</v>
      </c>
      <c r="P7" s="188">
        <v>0.25</v>
      </c>
      <c r="Q7" s="188">
        <v>0.25</v>
      </c>
      <c r="R7" s="188">
        <v>0.25</v>
      </c>
      <c r="S7" s="188">
        <v>0.25</v>
      </c>
      <c r="T7" s="188">
        <v>0.25</v>
      </c>
      <c r="U7" s="188">
        <v>0.25</v>
      </c>
      <c r="W7" s="69" t="s">
        <v>349</v>
      </c>
      <c r="X7" s="203">
        <f>((I$5-1)*25)/100</f>
        <v>0</v>
      </c>
    </row>
    <row r="8" spans="1:24" s="115" customFormat="1" ht="30.75" customHeight="1" x14ac:dyDescent="0.4">
      <c r="A8" s="262" t="s">
        <v>430</v>
      </c>
      <c r="B8" s="262"/>
      <c r="C8" s="262"/>
      <c r="D8" s="262"/>
      <c r="G8" s="188">
        <v>0.5</v>
      </c>
      <c r="H8" s="188">
        <v>0.5</v>
      </c>
      <c r="I8" s="188">
        <v>0.5</v>
      </c>
      <c r="J8" s="188">
        <v>0.5</v>
      </c>
      <c r="K8" s="188">
        <v>0.5</v>
      </c>
      <c r="L8" s="188">
        <v>0.5</v>
      </c>
      <c r="M8" s="188">
        <v>0.5</v>
      </c>
      <c r="N8" s="188">
        <v>0.5</v>
      </c>
      <c r="O8" s="188">
        <v>0.5</v>
      </c>
      <c r="P8" s="188">
        <v>0.5</v>
      </c>
      <c r="Q8" s="188">
        <v>0.5</v>
      </c>
      <c r="R8" s="188">
        <v>0.5</v>
      </c>
      <c r="S8" s="188">
        <v>0.5</v>
      </c>
      <c r="T8" s="188">
        <v>0.5</v>
      </c>
      <c r="U8" s="188">
        <v>0.5</v>
      </c>
      <c r="W8" s="69" t="s">
        <v>444</v>
      </c>
      <c r="X8" s="203">
        <f>((J$5-1)*25)/100</f>
        <v>0</v>
      </c>
    </row>
    <row r="9" spans="1:24" s="115" customFormat="1" ht="30.75" customHeight="1" x14ac:dyDescent="0.4">
      <c r="A9" s="263" t="s">
        <v>431</v>
      </c>
      <c r="B9" s="263"/>
      <c r="C9" s="263"/>
      <c r="D9" s="263"/>
      <c r="E9" s="154"/>
      <c r="G9" s="188">
        <v>0.75</v>
      </c>
      <c r="H9" s="188">
        <v>0.75</v>
      </c>
      <c r="I9" s="188">
        <v>0.75</v>
      </c>
      <c r="J9" s="188">
        <v>0.75</v>
      </c>
      <c r="K9" s="188">
        <v>0.75</v>
      </c>
      <c r="L9" s="188">
        <v>0.75</v>
      </c>
      <c r="M9" s="188">
        <v>0.75</v>
      </c>
      <c r="N9" s="188">
        <v>0.75</v>
      </c>
      <c r="O9" s="188">
        <v>0.75</v>
      </c>
      <c r="P9" s="188">
        <v>0.75</v>
      </c>
      <c r="Q9" s="188">
        <v>0.75</v>
      </c>
      <c r="R9" s="188">
        <v>0.75</v>
      </c>
      <c r="S9" s="188">
        <v>0.75</v>
      </c>
      <c r="T9" s="188">
        <v>0.75</v>
      </c>
      <c r="U9" s="188">
        <v>0.75</v>
      </c>
      <c r="W9" s="69" t="s">
        <v>445</v>
      </c>
      <c r="X9" s="203">
        <f>((K$5-1)*25)/100</f>
        <v>0</v>
      </c>
    </row>
    <row r="10" spans="1:24" s="115" customFormat="1" ht="30.75" customHeight="1" x14ac:dyDescent="0.4">
      <c r="A10" s="262" t="s">
        <v>432</v>
      </c>
      <c r="B10" s="262"/>
      <c r="C10" s="262"/>
      <c r="D10" s="262"/>
      <c r="G10" s="188">
        <v>1</v>
      </c>
      <c r="H10" s="188">
        <v>1</v>
      </c>
      <c r="I10" s="188">
        <v>1</v>
      </c>
      <c r="J10" s="188">
        <v>1</v>
      </c>
      <c r="K10" s="188">
        <v>1</v>
      </c>
      <c r="L10" s="188">
        <v>1</v>
      </c>
      <c r="M10" s="188">
        <v>1</v>
      </c>
      <c r="N10" s="188">
        <v>1</v>
      </c>
      <c r="O10" s="188">
        <v>1</v>
      </c>
      <c r="P10" s="188">
        <v>1</v>
      </c>
      <c r="Q10" s="188">
        <v>1</v>
      </c>
      <c r="R10" s="188">
        <v>1</v>
      </c>
      <c r="S10" s="188">
        <v>1</v>
      </c>
      <c r="T10" s="188">
        <v>1</v>
      </c>
      <c r="U10" s="188">
        <v>1</v>
      </c>
      <c r="W10" s="69" t="s">
        <v>446</v>
      </c>
      <c r="X10" s="203">
        <f>((L$5-1)*25)/100</f>
        <v>0</v>
      </c>
    </row>
    <row r="11" spans="1:24" s="115" customFormat="1" ht="30.75" customHeight="1" x14ac:dyDescent="0.4">
      <c r="A11" s="263" t="s">
        <v>433</v>
      </c>
      <c r="B11" s="263"/>
      <c r="C11" s="263"/>
      <c r="D11" s="263"/>
      <c r="E11" s="154"/>
      <c r="G11" s="3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W11" s="69" t="s">
        <v>447</v>
      </c>
      <c r="X11" s="203">
        <f>((M$5-1)*25)/100</f>
        <v>0</v>
      </c>
    </row>
    <row r="12" spans="1:24" s="115" customFormat="1" ht="30.75" customHeight="1" x14ac:dyDescent="0.4">
      <c r="A12" s="262" t="s">
        <v>434</v>
      </c>
      <c r="B12" s="262"/>
      <c r="C12" s="262"/>
      <c r="D12" s="262"/>
      <c r="G12" s="3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W12" s="69" t="s">
        <v>448</v>
      </c>
      <c r="X12" s="203">
        <f>((N$5-1)*25)/100</f>
        <v>0</v>
      </c>
    </row>
    <row r="13" spans="1:24" s="115" customFormat="1" ht="30.75" customHeight="1" x14ac:dyDescent="0.4">
      <c r="A13" s="263" t="s">
        <v>435</v>
      </c>
      <c r="B13" s="263"/>
      <c r="C13" s="263"/>
      <c r="D13" s="263"/>
      <c r="E13" s="154"/>
      <c r="G13" s="3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W13" s="69" t="s">
        <v>449</v>
      </c>
      <c r="X13" s="203">
        <f>((O$5-1)*25)/100</f>
        <v>0</v>
      </c>
    </row>
    <row r="14" spans="1:24" s="115" customFormat="1" ht="30.75" customHeight="1" x14ac:dyDescent="0.4">
      <c r="A14" s="262" t="s">
        <v>436</v>
      </c>
      <c r="B14" s="262"/>
      <c r="C14" s="262"/>
      <c r="D14" s="262"/>
      <c r="G14" s="3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W14" s="69" t="s">
        <v>246</v>
      </c>
      <c r="X14" s="203">
        <f>((P$5-1)*25)/100</f>
        <v>0</v>
      </c>
    </row>
    <row r="15" spans="1:24" s="115" customFormat="1" ht="30.75" customHeight="1" x14ac:dyDescent="0.4">
      <c r="A15" s="263" t="s">
        <v>437</v>
      </c>
      <c r="B15" s="263"/>
      <c r="C15" s="263"/>
      <c r="D15" s="263"/>
      <c r="E15" s="155"/>
      <c r="F15" s="113"/>
      <c r="G15" s="189"/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  <c r="S15" s="116"/>
      <c r="T15" s="116"/>
      <c r="U15" s="116"/>
      <c r="W15" s="69" t="s">
        <v>450</v>
      </c>
      <c r="X15" s="203">
        <f>((Q$5-1)*25)/100</f>
        <v>0</v>
      </c>
    </row>
    <row r="16" spans="1:24" s="115" customFormat="1" ht="30.75" customHeight="1" x14ac:dyDescent="0.4">
      <c r="A16" s="262" t="s">
        <v>438</v>
      </c>
      <c r="B16" s="262"/>
      <c r="C16" s="262"/>
      <c r="D16" s="262"/>
      <c r="G16" s="3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W16" s="69" t="s">
        <v>451</v>
      </c>
      <c r="X16" s="203">
        <f>((R$5-1)*25)/100</f>
        <v>0</v>
      </c>
    </row>
    <row r="17" spans="1:24" s="115" customFormat="1" ht="30.75" customHeight="1" x14ac:dyDescent="0.4">
      <c r="A17" s="263" t="s">
        <v>439</v>
      </c>
      <c r="B17" s="263"/>
      <c r="C17" s="263"/>
      <c r="D17" s="263"/>
      <c r="E17" s="154"/>
      <c r="G17" s="3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W17" s="69" t="s">
        <v>452</v>
      </c>
      <c r="X17" s="203">
        <f>((S$5-1)*25)/100</f>
        <v>0</v>
      </c>
    </row>
    <row r="18" spans="1:24" s="115" customFormat="1" ht="30.75" customHeight="1" x14ac:dyDescent="0.4">
      <c r="A18" s="262" t="s">
        <v>440</v>
      </c>
      <c r="B18" s="262"/>
      <c r="C18" s="262"/>
      <c r="D18" s="262"/>
      <c r="G18" s="3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W18" s="69" t="s">
        <v>453</v>
      </c>
      <c r="X18" s="203">
        <f>((T$5-1)*25)/100</f>
        <v>0</v>
      </c>
    </row>
    <row r="19" spans="1:24" s="115" customFormat="1" ht="30.75" customHeight="1" x14ac:dyDescent="0.4">
      <c r="A19" s="263" t="s">
        <v>441</v>
      </c>
      <c r="B19" s="263"/>
      <c r="C19" s="263"/>
      <c r="D19" s="263"/>
      <c r="E19" s="154"/>
      <c r="G19" s="3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W19" s="69" t="s">
        <v>454</v>
      </c>
      <c r="X19" s="203">
        <f>((U$5-1)*25)/100</f>
        <v>0</v>
      </c>
    </row>
    <row r="20" spans="1:24" ht="12.75" customHeight="1" x14ac:dyDescent="0.4">
      <c r="W20" s="69"/>
      <c r="X20" s="183"/>
    </row>
    <row r="21" spans="1:24" x14ac:dyDescent="0.4">
      <c r="W21" s="191" t="s">
        <v>360</v>
      </c>
      <c r="X21" s="192">
        <f>AVERAGE(X5:X19)</f>
        <v>0</v>
      </c>
    </row>
    <row r="43" spans="1:5" ht="17.7" x14ac:dyDescent="0.6">
      <c r="A43" s="150" t="s">
        <v>361</v>
      </c>
      <c r="B43" s="151">
        <f>X21</f>
        <v>0</v>
      </c>
      <c r="C43" s="267" t="s">
        <v>455</v>
      </c>
      <c r="D43" s="268"/>
    </row>
    <row r="45" spans="1:5" ht="38.25" customHeight="1" x14ac:dyDescent="0.4">
      <c r="A45" s="264"/>
      <c r="B45" s="264"/>
      <c r="C45" s="264"/>
      <c r="D45" s="264"/>
      <c r="E45" s="264"/>
    </row>
  </sheetData>
  <sheetProtection password="CFC0" sheet="1" objects="1" scenarios="1"/>
  <mergeCells count="19">
    <mergeCell ref="A14:D14"/>
    <mergeCell ref="A1:E1"/>
    <mergeCell ref="A3:E3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45:E45"/>
    <mergeCell ref="A15:D15"/>
    <mergeCell ref="A16:D16"/>
    <mergeCell ref="A17:D17"/>
    <mergeCell ref="A18:D18"/>
    <mergeCell ref="A19:D19"/>
    <mergeCell ref="C43:D43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3793" r:id="rId4" name="Drop Down 1">
              <controlPr defaultSize="0" autoLine="0" autoPict="0">
                <anchor moveWithCells="1">
                  <from>
                    <xdr:col>4</xdr:col>
                    <xdr:colOff>7620</xdr:colOff>
                    <xdr:row>4</xdr:row>
                    <xdr:rowOff>38100</xdr:rowOff>
                  </from>
                  <to>
                    <xdr:col>4</xdr:col>
                    <xdr:colOff>297180</xdr:colOff>
                    <xdr:row>4</xdr:row>
                    <xdr:rowOff>125730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4" r:id="rId5" name="Drop Down 2">
              <controlPr defaultSize="0" autoLine="0" autoPict="0">
                <anchor moveWithCells="1">
                  <from>
                    <xdr:col>4</xdr:col>
                    <xdr:colOff>7620</xdr:colOff>
                    <xdr:row>5</xdr:row>
                    <xdr:rowOff>38100</xdr:rowOff>
                  </from>
                  <to>
                    <xdr:col>4</xdr:col>
                    <xdr:colOff>297180</xdr:colOff>
                    <xdr:row>5</xdr:row>
                    <xdr:rowOff>125730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5" r:id="rId6" name="Drop Down 3">
              <controlPr defaultSize="0" autoLine="0" autoPict="0">
                <anchor moveWithCells="1">
                  <from>
                    <xdr:col>4</xdr:col>
                    <xdr:colOff>7620</xdr:colOff>
                    <xdr:row>6</xdr:row>
                    <xdr:rowOff>38100</xdr:rowOff>
                  </from>
                  <to>
                    <xdr:col>4</xdr:col>
                    <xdr:colOff>297180</xdr:colOff>
                    <xdr:row>6</xdr:row>
                    <xdr:rowOff>125730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6" r:id="rId7" name="Drop Down 4">
              <controlPr defaultSize="0" autoLine="0" autoPict="0">
                <anchor moveWithCells="1">
                  <from>
                    <xdr:col>4</xdr:col>
                    <xdr:colOff>7620</xdr:colOff>
                    <xdr:row>7</xdr:row>
                    <xdr:rowOff>38100</xdr:rowOff>
                  </from>
                  <to>
                    <xdr:col>4</xdr:col>
                    <xdr:colOff>297180</xdr:colOff>
                    <xdr:row>7</xdr:row>
                    <xdr:rowOff>125730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7" r:id="rId8" name="Drop Down 5">
              <controlPr defaultSize="0" autoLine="0" autoPict="0">
                <anchor moveWithCells="1">
                  <from>
                    <xdr:col>4</xdr:col>
                    <xdr:colOff>7620</xdr:colOff>
                    <xdr:row>8</xdr:row>
                    <xdr:rowOff>38100</xdr:rowOff>
                  </from>
                  <to>
                    <xdr:col>4</xdr:col>
                    <xdr:colOff>297180</xdr:colOff>
                    <xdr:row>8</xdr:row>
                    <xdr:rowOff>125730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8" r:id="rId9" name="Drop Down 6">
              <controlPr defaultSize="0" autoLine="0" autoPict="0">
                <anchor moveWithCells="1">
                  <from>
                    <xdr:col>4</xdr:col>
                    <xdr:colOff>7620</xdr:colOff>
                    <xdr:row>9</xdr:row>
                    <xdr:rowOff>38100</xdr:rowOff>
                  </from>
                  <to>
                    <xdr:col>4</xdr:col>
                    <xdr:colOff>297180</xdr:colOff>
                    <xdr:row>9</xdr:row>
                    <xdr:rowOff>125730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9" r:id="rId10" name="Drop Down 7">
              <controlPr defaultSize="0" autoLine="0" autoPict="0">
                <anchor moveWithCells="1">
                  <from>
                    <xdr:col>4</xdr:col>
                    <xdr:colOff>7620</xdr:colOff>
                    <xdr:row>10</xdr:row>
                    <xdr:rowOff>38100</xdr:rowOff>
                  </from>
                  <to>
                    <xdr:col>4</xdr:col>
                    <xdr:colOff>297180</xdr:colOff>
                    <xdr:row>10</xdr:row>
                    <xdr:rowOff>125730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0" r:id="rId11" name="Drop Down 8">
              <controlPr defaultSize="0" autoLine="0" autoPict="0">
                <anchor moveWithCells="1">
                  <from>
                    <xdr:col>4</xdr:col>
                    <xdr:colOff>7620</xdr:colOff>
                    <xdr:row>11</xdr:row>
                    <xdr:rowOff>38100</xdr:rowOff>
                  </from>
                  <to>
                    <xdr:col>4</xdr:col>
                    <xdr:colOff>297180</xdr:colOff>
                    <xdr:row>11</xdr:row>
                    <xdr:rowOff>125730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1" r:id="rId12" name="Drop Down 9">
              <controlPr defaultSize="0" autoLine="0" autoPict="0">
                <anchor moveWithCells="1">
                  <from>
                    <xdr:col>4</xdr:col>
                    <xdr:colOff>7620</xdr:colOff>
                    <xdr:row>12</xdr:row>
                    <xdr:rowOff>38100</xdr:rowOff>
                  </from>
                  <to>
                    <xdr:col>4</xdr:col>
                    <xdr:colOff>297180</xdr:colOff>
                    <xdr:row>12</xdr:row>
                    <xdr:rowOff>125730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2" r:id="rId13" name="Drop Down 10">
              <controlPr defaultSize="0" autoLine="0" autoPict="0">
                <anchor moveWithCells="1">
                  <from>
                    <xdr:col>4</xdr:col>
                    <xdr:colOff>7620</xdr:colOff>
                    <xdr:row>13</xdr:row>
                    <xdr:rowOff>38100</xdr:rowOff>
                  </from>
                  <to>
                    <xdr:col>4</xdr:col>
                    <xdr:colOff>297180</xdr:colOff>
                    <xdr:row>13</xdr:row>
                    <xdr:rowOff>125730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3" r:id="rId14" name="Drop Down 11">
              <controlPr defaultSize="0" autoLine="0" autoPict="0">
                <anchor moveWithCells="1">
                  <from>
                    <xdr:col>4</xdr:col>
                    <xdr:colOff>7620</xdr:colOff>
                    <xdr:row>14</xdr:row>
                    <xdr:rowOff>38100</xdr:rowOff>
                  </from>
                  <to>
                    <xdr:col>4</xdr:col>
                    <xdr:colOff>297180</xdr:colOff>
                    <xdr:row>14</xdr:row>
                    <xdr:rowOff>125730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4" r:id="rId15" name="Drop Down 12">
              <controlPr defaultSize="0" autoLine="0" autoPict="0">
                <anchor moveWithCells="1">
                  <from>
                    <xdr:col>4</xdr:col>
                    <xdr:colOff>7620</xdr:colOff>
                    <xdr:row>15</xdr:row>
                    <xdr:rowOff>38100</xdr:rowOff>
                  </from>
                  <to>
                    <xdr:col>4</xdr:col>
                    <xdr:colOff>297180</xdr:colOff>
                    <xdr:row>15</xdr:row>
                    <xdr:rowOff>125730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5" r:id="rId16" name="Drop Down 13">
              <controlPr defaultSize="0" autoLine="0" autoPict="0">
                <anchor moveWithCells="1">
                  <from>
                    <xdr:col>4</xdr:col>
                    <xdr:colOff>7620</xdr:colOff>
                    <xdr:row>16</xdr:row>
                    <xdr:rowOff>38100</xdr:rowOff>
                  </from>
                  <to>
                    <xdr:col>4</xdr:col>
                    <xdr:colOff>297180</xdr:colOff>
                    <xdr:row>16</xdr:row>
                    <xdr:rowOff>125730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6" r:id="rId17" name="Drop Down 14">
              <controlPr defaultSize="0" autoLine="0" autoPict="0">
                <anchor moveWithCells="1">
                  <from>
                    <xdr:col>4</xdr:col>
                    <xdr:colOff>7620</xdr:colOff>
                    <xdr:row>17</xdr:row>
                    <xdr:rowOff>38100</xdr:rowOff>
                  </from>
                  <to>
                    <xdr:col>4</xdr:col>
                    <xdr:colOff>297180</xdr:colOff>
                    <xdr:row>17</xdr:row>
                    <xdr:rowOff>125730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7" r:id="rId18" name="Drop Down 15">
              <controlPr defaultSize="0" autoLine="0" autoPict="0">
                <anchor moveWithCells="1">
                  <from>
                    <xdr:col>4</xdr:col>
                    <xdr:colOff>7620</xdr:colOff>
                    <xdr:row>18</xdr:row>
                    <xdr:rowOff>38100</xdr:rowOff>
                  </from>
                  <to>
                    <xdr:col>4</xdr:col>
                    <xdr:colOff>297180</xdr:colOff>
                    <xdr:row>18</xdr:row>
                    <xdr:rowOff>125730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45"/>
  <sheetViews>
    <sheetView showGridLines="0" workbookViewId="0">
      <pane ySplit="1" topLeftCell="A2" activePane="bottomLeft" state="frozen"/>
      <selection pane="bottomLeft" activeCell="V7" sqref="V7"/>
    </sheetView>
  </sheetViews>
  <sheetFormatPr defaultRowHeight="12.3" x14ac:dyDescent="0.4"/>
  <cols>
    <col min="1" max="1" width="54.83203125" customWidth="1"/>
    <col min="2" max="2" width="13.71875" customWidth="1"/>
    <col min="3" max="3" width="35" customWidth="1"/>
    <col min="4" max="4" width="11" customWidth="1"/>
    <col min="5" max="5" width="11.27734375" customWidth="1"/>
    <col min="7" max="7" width="6.27734375" style="35" hidden="1" customWidth="1"/>
    <col min="8" max="21" width="6.27734375" style="3" hidden="1" customWidth="1"/>
    <col min="22" max="22" width="2.27734375" customWidth="1"/>
    <col min="23" max="23" width="15.5546875" customWidth="1"/>
    <col min="24" max="24" width="9.1640625" style="2"/>
  </cols>
  <sheetData>
    <row r="1" spans="1:24" ht="17.7" x14ac:dyDescent="0.4">
      <c r="A1" s="216" t="s">
        <v>527</v>
      </c>
      <c r="B1" s="216"/>
      <c r="C1" s="216"/>
      <c r="D1" s="216"/>
      <c r="E1" s="216"/>
      <c r="F1" s="111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</row>
    <row r="2" spans="1:24" ht="6" customHeight="1" x14ac:dyDescent="0.4"/>
    <row r="3" spans="1:24" ht="36" customHeight="1" x14ac:dyDescent="0.4">
      <c r="A3" s="264" t="s">
        <v>426</v>
      </c>
      <c r="B3" s="264"/>
      <c r="C3" s="264"/>
      <c r="D3" s="264"/>
      <c r="E3" s="264"/>
      <c r="F3" s="147"/>
      <c r="G3" s="186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</row>
    <row r="4" spans="1:24" ht="6" customHeight="1" x14ac:dyDescent="0.4"/>
    <row r="5" spans="1:24" s="115" customFormat="1" ht="30.75" customHeight="1" x14ac:dyDescent="0.4">
      <c r="A5" s="269" t="s">
        <v>427</v>
      </c>
      <c r="B5" s="269"/>
      <c r="C5" s="269"/>
      <c r="D5" s="269"/>
      <c r="E5" s="157"/>
      <c r="G5" s="36">
        <v>1</v>
      </c>
      <c r="H5" s="36">
        <v>1</v>
      </c>
      <c r="I5" s="36">
        <v>1</v>
      </c>
      <c r="J5" s="36">
        <v>1</v>
      </c>
      <c r="K5" s="36">
        <v>1</v>
      </c>
      <c r="L5" s="36">
        <v>1</v>
      </c>
      <c r="M5" s="36">
        <v>1</v>
      </c>
      <c r="N5" s="36">
        <v>1</v>
      </c>
      <c r="O5" s="36">
        <v>1</v>
      </c>
      <c r="P5" s="36">
        <v>1</v>
      </c>
      <c r="Q5" s="36">
        <v>1</v>
      </c>
      <c r="R5" s="36">
        <v>1</v>
      </c>
      <c r="S5" s="36">
        <v>1</v>
      </c>
      <c r="T5" s="36">
        <v>1</v>
      </c>
      <c r="U5" s="36">
        <v>1</v>
      </c>
      <c r="W5" s="69" t="s">
        <v>442</v>
      </c>
      <c r="X5" s="203">
        <f>((G$5-1)*25)/100</f>
        <v>0</v>
      </c>
    </row>
    <row r="6" spans="1:24" s="115" customFormat="1" ht="30.75" customHeight="1" x14ac:dyDescent="0.4">
      <c r="A6" s="262" t="s">
        <v>428</v>
      </c>
      <c r="B6" s="262"/>
      <c r="C6" s="262"/>
      <c r="D6" s="262"/>
      <c r="G6" s="188">
        <v>0</v>
      </c>
      <c r="H6" s="188">
        <v>0</v>
      </c>
      <c r="I6" s="188">
        <v>0</v>
      </c>
      <c r="J6" s="188">
        <v>0</v>
      </c>
      <c r="K6" s="188">
        <v>0</v>
      </c>
      <c r="L6" s="188">
        <v>0</v>
      </c>
      <c r="M6" s="188">
        <v>0</v>
      </c>
      <c r="N6" s="188">
        <v>0</v>
      </c>
      <c r="O6" s="188">
        <v>0</v>
      </c>
      <c r="P6" s="188">
        <v>0</v>
      </c>
      <c r="Q6" s="188">
        <v>0</v>
      </c>
      <c r="R6" s="188">
        <v>0</v>
      </c>
      <c r="S6" s="188">
        <v>0</v>
      </c>
      <c r="T6" s="188">
        <v>0</v>
      </c>
      <c r="U6" s="188">
        <v>0</v>
      </c>
      <c r="W6" s="69" t="s">
        <v>443</v>
      </c>
      <c r="X6" s="203">
        <f>((H$5-1)*25)/100</f>
        <v>0</v>
      </c>
    </row>
    <row r="7" spans="1:24" s="115" customFormat="1" ht="30.75" customHeight="1" x14ac:dyDescent="0.4">
      <c r="A7" s="269" t="s">
        <v>429</v>
      </c>
      <c r="B7" s="269"/>
      <c r="C7" s="269"/>
      <c r="D7" s="269"/>
      <c r="E7" s="157"/>
      <c r="G7" s="188">
        <v>0.25</v>
      </c>
      <c r="H7" s="188">
        <v>0.25</v>
      </c>
      <c r="I7" s="188">
        <v>0.25</v>
      </c>
      <c r="J7" s="188">
        <v>0.25</v>
      </c>
      <c r="K7" s="188">
        <v>0.25</v>
      </c>
      <c r="L7" s="188">
        <v>0.25</v>
      </c>
      <c r="M7" s="188">
        <v>0.25</v>
      </c>
      <c r="N7" s="188">
        <v>0.25</v>
      </c>
      <c r="O7" s="188">
        <v>0.25</v>
      </c>
      <c r="P7" s="188">
        <v>0.25</v>
      </c>
      <c r="Q7" s="188">
        <v>0.25</v>
      </c>
      <c r="R7" s="188">
        <v>0.25</v>
      </c>
      <c r="S7" s="188">
        <v>0.25</v>
      </c>
      <c r="T7" s="188">
        <v>0.25</v>
      </c>
      <c r="U7" s="188">
        <v>0.25</v>
      </c>
      <c r="W7" s="69" t="s">
        <v>349</v>
      </c>
      <c r="X7" s="203">
        <f>((I$5-1)*25)/100</f>
        <v>0</v>
      </c>
    </row>
    <row r="8" spans="1:24" s="115" customFormat="1" ht="30.75" customHeight="1" x14ac:dyDescent="0.4">
      <c r="A8" s="262" t="s">
        <v>430</v>
      </c>
      <c r="B8" s="262"/>
      <c r="C8" s="262"/>
      <c r="D8" s="262"/>
      <c r="G8" s="188">
        <v>0.5</v>
      </c>
      <c r="H8" s="188">
        <v>0.5</v>
      </c>
      <c r="I8" s="188">
        <v>0.5</v>
      </c>
      <c r="J8" s="188">
        <v>0.5</v>
      </c>
      <c r="K8" s="188">
        <v>0.5</v>
      </c>
      <c r="L8" s="188">
        <v>0.5</v>
      </c>
      <c r="M8" s="188">
        <v>0.5</v>
      </c>
      <c r="N8" s="188">
        <v>0.5</v>
      </c>
      <c r="O8" s="188">
        <v>0.5</v>
      </c>
      <c r="P8" s="188">
        <v>0.5</v>
      </c>
      <c r="Q8" s="188">
        <v>0.5</v>
      </c>
      <c r="R8" s="188">
        <v>0.5</v>
      </c>
      <c r="S8" s="188">
        <v>0.5</v>
      </c>
      <c r="T8" s="188">
        <v>0.5</v>
      </c>
      <c r="U8" s="188">
        <v>0.5</v>
      </c>
      <c r="W8" s="69" t="s">
        <v>444</v>
      </c>
      <c r="X8" s="203">
        <f>((J$5-1)*25)/100</f>
        <v>0</v>
      </c>
    </row>
    <row r="9" spans="1:24" s="115" customFormat="1" ht="30.75" customHeight="1" x14ac:dyDescent="0.4">
      <c r="A9" s="269" t="s">
        <v>431</v>
      </c>
      <c r="B9" s="269"/>
      <c r="C9" s="269"/>
      <c r="D9" s="269"/>
      <c r="E9" s="157"/>
      <c r="G9" s="188">
        <v>0.75</v>
      </c>
      <c r="H9" s="188">
        <v>0.75</v>
      </c>
      <c r="I9" s="188">
        <v>0.75</v>
      </c>
      <c r="J9" s="188">
        <v>0.75</v>
      </c>
      <c r="K9" s="188">
        <v>0.75</v>
      </c>
      <c r="L9" s="188">
        <v>0.75</v>
      </c>
      <c r="M9" s="188">
        <v>0.75</v>
      </c>
      <c r="N9" s="188">
        <v>0.75</v>
      </c>
      <c r="O9" s="188">
        <v>0.75</v>
      </c>
      <c r="P9" s="188">
        <v>0.75</v>
      </c>
      <c r="Q9" s="188">
        <v>0.75</v>
      </c>
      <c r="R9" s="188">
        <v>0.75</v>
      </c>
      <c r="S9" s="188">
        <v>0.75</v>
      </c>
      <c r="T9" s="188">
        <v>0.75</v>
      </c>
      <c r="U9" s="188">
        <v>0.75</v>
      </c>
      <c r="W9" s="69" t="s">
        <v>445</v>
      </c>
      <c r="X9" s="203">
        <f>((K$5-1)*25)/100</f>
        <v>0</v>
      </c>
    </row>
    <row r="10" spans="1:24" s="115" customFormat="1" ht="30.75" customHeight="1" x14ac:dyDescent="0.4">
      <c r="A10" s="262" t="s">
        <v>432</v>
      </c>
      <c r="B10" s="262"/>
      <c r="C10" s="262"/>
      <c r="D10" s="262"/>
      <c r="G10" s="188">
        <v>1</v>
      </c>
      <c r="H10" s="188">
        <v>1</v>
      </c>
      <c r="I10" s="188">
        <v>1</v>
      </c>
      <c r="J10" s="188">
        <v>1</v>
      </c>
      <c r="K10" s="188">
        <v>1</v>
      </c>
      <c r="L10" s="188">
        <v>1</v>
      </c>
      <c r="M10" s="188">
        <v>1</v>
      </c>
      <c r="N10" s="188">
        <v>1</v>
      </c>
      <c r="O10" s="188">
        <v>1</v>
      </c>
      <c r="P10" s="188">
        <v>1</v>
      </c>
      <c r="Q10" s="188">
        <v>1</v>
      </c>
      <c r="R10" s="188">
        <v>1</v>
      </c>
      <c r="S10" s="188">
        <v>1</v>
      </c>
      <c r="T10" s="188">
        <v>1</v>
      </c>
      <c r="U10" s="188">
        <v>1</v>
      </c>
      <c r="W10" s="69" t="s">
        <v>446</v>
      </c>
      <c r="X10" s="203">
        <f>((L$5-1)*25)/100</f>
        <v>0</v>
      </c>
    </row>
    <row r="11" spans="1:24" s="115" customFormat="1" ht="30.75" customHeight="1" x14ac:dyDescent="0.4">
      <c r="A11" s="269" t="s">
        <v>433</v>
      </c>
      <c r="B11" s="269"/>
      <c r="C11" s="269"/>
      <c r="D11" s="269"/>
      <c r="E11" s="157"/>
      <c r="G11" s="3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W11" s="69" t="s">
        <v>447</v>
      </c>
      <c r="X11" s="203">
        <f>((M$5-1)*25)/100</f>
        <v>0</v>
      </c>
    </row>
    <row r="12" spans="1:24" s="115" customFormat="1" ht="30.75" customHeight="1" x14ac:dyDescent="0.4">
      <c r="A12" s="262" t="s">
        <v>434</v>
      </c>
      <c r="B12" s="262"/>
      <c r="C12" s="262"/>
      <c r="D12" s="262"/>
      <c r="G12" s="3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W12" s="69" t="s">
        <v>448</v>
      </c>
      <c r="X12" s="203">
        <f>((N$5-1)*25)/100</f>
        <v>0</v>
      </c>
    </row>
    <row r="13" spans="1:24" s="115" customFormat="1" ht="30.75" customHeight="1" x14ac:dyDescent="0.4">
      <c r="A13" s="269" t="s">
        <v>435</v>
      </c>
      <c r="B13" s="269"/>
      <c r="C13" s="269"/>
      <c r="D13" s="269"/>
      <c r="E13" s="157"/>
      <c r="G13" s="3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W13" s="69" t="s">
        <v>449</v>
      </c>
      <c r="X13" s="203">
        <f>((O$5-1)*25)/100</f>
        <v>0</v>
      </c>
    </row>
    <row r="14" spans="1:24" s="115" customFormat="1" ht="30.75" customHeight="1" x14ac:dyDescent="0.4">
      <c r="A14" s="262" t="s">
        <v>436</v>
      </c>
      <c r="B14" s="262"/>
      <c r="C14" s="262"/>
      <c r="D14" s="262"/>
      <c r="G14" s="3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W14" s="69" t="s">
        <v>246</v>
      </c>
      <c r="X14" s="203">
        <f>((P$5-1)*25)/100</f>
        <v>0</v>
      </c>
    </row>
    <row r="15" spans="1:24" s="115" customFormat="1" ht="30.75" customHeight="1" x14ac:dyDescent="0.4">
      <c r="A15" s="269" t="s">
        <v>437</v>
      </c>
      <c r="B15" s="269"/>
      <c r="C15" s="269"/>
      <c r="D15" s="269"/>
      <c r="E15" s="158"/>
      <c r="F15" s="113"/>
      <c r="G15" s="189"/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  <c r="S15" s="116"/>
      <c r="T15" s="116"/>
      <c r="U15" s="116"/>
      <c r="W15" s="69" t="s">
        <v>450</v>
      </c>
      <c r="X15" s="203">
        <f>((Q$5-1)*25)/100</f>
        <v>0</v>
      </c>
    </row>
    <row r="16" spans="1:24" s="115" customFormat="1" ht="30.75" customHeight="1" x14ac:dyDescent="0.4">
      <c r="A16" s="262" t="s">
        <v>438</v>
      </c>
      <c r="B16" s="262"/>
      <c r="C16" s="262"/>
      <c r="D16" s="262"/>
      <c r="G16" s="3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W16" s="69" t="s">
        <v>451</v>
      </c>
      <c r="X16" s="203">
        <f>((R$5-1)*25)/100</f>
        <v>0</v>
      </c>
    </row>
    <row r="17" spans="1:24" s="115" customFormat="1" ht="30.75" customHeight="1" x14ac:dyDescent="0.4">
      <c r="A17" s="269" t="s">
        <v>439</v>
      </c>
      <c r="B17" s="269"/>
      <c r="C17" s="269"/>
      <c r="D17" s="269"/>
      <c r="E17" s="157"/>
      <c r="G17" s="3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W17" s="69" t="s">
        <v>452</v>
      </c>
      <c r="X17" s="203">
        <f>((S$5-1)*25)/100</f>
        <v>0</v>
      </c>
    </row>
    <row r="18" spans="1:24" s="115" customFormat="1" ht="30.75" customHeight="1" x14ac:dyDescent="0.4">
      <c r="A18" s="262" t="s">
        <v>440</v>
      </c>
      <c r="B18" s="262"/>
      <c r="C18" s="262"/>
      <c r="D18" s="262"/>
      <c r="G18" s="3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W18" s="69" t="s">
        <v>453</v>
      </c>
      <c r="X18" s="203">
        <f>((T$5-1)*25)/100</f>
        <v>0</v>
      </c>
    </row>
    <row r="19" spans="1:24" s="115" customFormat="1" ht="30.75" customHeight="1" x14ac:dyDescent="0.4">
      <c r="A19" s="269" t="s">
        <v>441</v>
      </c>
      <c r="B19" s="269"/>
      <c r="C19" s="269"/>
      <c r="D19" s="269"/>
      <c r="E19" s="157"/>
      <c r="G19" s="3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W19" s="69" t="s">
        <v>454</v>
      </c>
      <c r="X19" s="203">
        <f>((U$5-1)*25)/100</f>
        <v>0</v>
      </c>
    </row>
    <row r="20" spans="1:24" ht="12.75" customHeight="1" x14ac:dyDescent="0.4">
      <c r="W20" s="69"/>
      <c r="X20" s="183"/>
    </row>
    <row r="21" spans="1:24" x14ac:dyDescent="0.4">
      <c r="W21" s="191" t="s">
        <v>360</v>
      </c>
      <c r="X21" s="192">
        <f>AVERAGE(X5:X19)</f>
        <v>0</v>
      </c>
    </row>
    <row r="43" spans="1:5" ht="17.7" x14ac:dyDescent="0.6">
      <c r="A43" s="150" t="s">
        <v>361</v>
      </c>
      <c r="B43" s="151">
        <f>X21</f>
        <v>0</v>
      </c>
      <c r="C43" s="267" t="s">
        <v>455</v>
      </c>
      <c r="D43" s="268"/>
    </row>
    <row r="45" spans="1:5" ht="38.25" customHeight="1" x14ac:dyDescent="0.4">
      <c r="A45" s="264"/>
      <c r="B45" s="264"/>
      <c r="C45" s="264"/>
      <c r="D45" s="264"/>
      <c r="E45" s="264"/>
    </row>
  </sheetData>
  <sheetProtection password="CFC0" sheet="1" objects="1" scenarios="1"/>
  <mergeCells count="19">
    <mergeCell ref="A14:D14"/>
    <mergeCell ref="A1:E1"/>
    <mergeCell ref="A3:E3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45:E45"/>
    <mergeCell ref="A15:D15"/>
    <mergeCell ref="A16:D16"/>
    <mergeCell ref="A17:D17"/>
    <mergeCell ref="A18:D18"/>
    <mergeCell ref="A19:D19"/>
    <mergeCell ref="C43:D43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4817" r:id="rId4" name="Drop Down 1">
              <controlPr defaultSize="0" autoLine="0" autoPict="0">
                <anchor moveWithCells="1">
                  <from>
                    <xdr:col>4</xdr:col>
                    <xdr:colOff>7620</xdr:colOff>
                    <xdr:row>4</xdr:row>
                    <xdr:rowOff>38100</xdr:rowOff>
                  </from>
                  <to>
                    <xdr:col>4</xdr:col>
                    <xdr:colOff>297180</xdr:colOff>
                    <xdr:row>4</xdr:row>
                    <xdr:rowOff>125730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18" r:id="rId5" name="Drop Down 2">
              <controlPr defaultSize="0" autoLine="0" autoPict="0">
                <anchor moveWithCells="1">
                  <from>
                    <xdr:col>4</xdr:col>
                    <xdr:colOff>7620</xdr:colOff>
                    <xdr:row>5</xdr:row>
                    <xdr:rowOff>38100</xdr:rowOff>
                  </from>
                  <to>
                    <xdr:col>4</xdr:col>
                    <xdr:colOff>297180</xdr:colOff>
                    <xdr:row>5</xdr:row>
                    <xdr:rowOff>125730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19" r:id="rId6" name="Drop Down 3">
              <controlPr defaultSize="0" autoLine="0" autoPict="0">
                <anchor moveWithCells="1">
                  <from>
                    <xdr:col>4</xdr:col>
                    <xdr:colOff>7620</xdr:colOff>
                    <xdr:row>6</xdr:row>
                    <xdr:rowOff>38100</xdr:rowOff>
                  </from>
                  <to>
                    <xdr:col>4</xdr:col>
                    <xdr:colOff>297180</xdr:colOff>
                    <xdr:row>6</xdr:row>
                    <xdr:rowOff>125730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0" r:id="rId7" name="Drop Down 4">
              <controlPr defaultSize="0" autoLine="0" autoPict="0">
                <anchor moveWithCells="1">
                  <from>
                    <xdr:col>4</xdr:col>
                    <xdr:colOff>7620</xdr:colOff>
                    <xdr:row>7</xdr:row>
                    <xdr:rowOff>38100</xdr:rowOff>
                  </from>
                  <to>
                    <xdr:col>4</xdr:col>
                    <xdr:colOff>297180</xdr:colOff>
                    <xdr:row>7</xdr:row>
                    <xdr:rowOff>125730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1" r:id="rId8" name="Drop Down 5">
              <controlPr defaultSize="0" autoLine="0" autoPict="0">
                <anchor moveWithCells="1">
                  <from>
                    <xdr:col>4</xdr:col>
                    <xdr:colOff>7620</xdr:colOff>
                    <xdr:row>8</xdr:row>
                    <xdr:rowOff>38100</xdr:rowOff>
                  </from>
                  <to>
                    <xdr:col>4</xdr:col>
                    <xdr:colOff>297180</xdr:colOff>
                    <xdr:row>8</xdr:row>
                    <xdr:rowOff>125730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2" r:id="rId9" name="Drop Down 6">
              <controlPr defaultSize="0" autoLine="0" autoPict="0">
                <anchor moveWithCells="1">
                  <from>
                    <xdr:col>4</xdr:col>
                    <xdr:colOff>7620</xdr:colOff>
                    <xdr:row>9</xdr:row>
                    <xdr:rowOff>38100</xdr:rowOff>
                  </from>
                  <to>
                    <xdr:col>4</xdr:col>
                    <xdr:colOff>297180</xdr:colOff>
                    <xdr:row>9</xdr:row>
                    <xdr:rowOff>125730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3" r:id="rId10" name="Drop Down 7">
              <controlPr defaultSize="0" autoLine="0" autoPict="0">
                <anchor moveWithCells="1">
                  <from>
                    <xdr:col>4</xdr:col>
                    <xdr:colOff>7620</xdr:colOff>
                    <xdr:row>10</xdr:row>
                    <xdr:rowOff>38100</xdr:rowOff>
                  </from>
                  <to>
                    <xdr:col>4</xdr:col>
                    <xdr:colOff>297180</xdr:colOff>
                    <xdr:row>10</xdr:row>
                    <xdr:rowOff>125730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4" r:id="rId11" name="Drop Down 8">
              <controlPr defaultSize="0" autoLine="0" autoPict="0">
                <anchor moveWithCells="1">
                  <from>
                    <xdr:col>4</xdr:col>
                    <xdr:colOff>7620</xdr:colOff>
                    <xdr:row>11</xdr:row>
                    <xdr:rowOff>38100</xdr:rowOff>
                  </from>
                  <to>
                    <xdr:col>4</xdr:col>
                    <xdr:colOff>297180</xdr:colOff>
                    <xdr:row>11</xdr:row>
                    <xdr:rowOff>125730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5" r:id="rId12" name="Drop Down 9">
              <controlPr defaultSize="0" autoLine="0" autoPict="0">
                <anchor moveWithCells="1">
                  <from>
                    <xdr:col>4</xdr:col>
                    <xdr:colOff>7620</xdr:colOff>
                    <xdr:row>12</xdr:row>
                    <xdr:rowOff>38100</xdr:rowOff>
                  </from>
                  <to>
                    <xdr:col>4</xdr:col>
                    <xdr:colOff>297180</xdr:colOff>
                    <xdr:row>12</xdr:row>
                    <xdr:rowOff>125730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6" r:id="rId13" name="Drop Down 10">
              <controlPr defaultSize="0" autoLine="0" autoPict="0">
                <anchor moveWithCells="1">
                  <from>
                    <xdr:col>4</xdr:col>
                    <xdr:colOff>7620</xdr:colOff>
                    <xdr:row>13</xdr:row>
                    <xdr:rowOff>38100</xdr:rowOff>
                  </from>
                  <to>
                    <xdr:col>4</xdr:col>
                    <xdr:colOff>297180</xdr:colOff>
                    <xdr:row>13</xdr:row>
                    <xdr:rowOff>125730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7" r:id="rId14" name="Drop Down 11">
              <controlPr defaultSize="0" autoLine="0" autoPict="0">
                <anchor moveWithCells="1">
                  <from>
                    <xdr:col>4</xdr:col>
                    <xdr:colOff>7620</xdr:colOff>
                    <xdr:row>14</xdr:row>
                    <xdr:rowOff>38100</xdr:rowOff>
                  </from>
                  <to>
                    <xdr:col>4</xdr:col>
                    <xdr:colOff>297180</xdr:colOff>
                    <xdr:row>14</xdr:row>
                    <xdr:rowOff>125730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8" r:id="rId15" name="Drop Down 12">
              <controlPr defaultSize="0" autoLine="0" autoPict="0">
                <anchor moveWithCells="1">
                  <from>
                    <xdr:col>4</xdr:col>
                    <xdr:colOff>7620</xdr:colOff>
                    <xdr:row>15</xdr:row>
                    <xdr:rowOff>38100</xdr:rowOff>
                  </from>
                  <to>
                    <xdr:col>4</xdr:col>
                    <xdr:colOff>297180</xdr:colOff>
                    <xdr:row>15</xdr:row>
                    <xdr:rowOff>125730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9" r:id="rId16" name="Drop Down 13">
              <controlPr defaultSize="0" autoLine="0" autoPict="0">
                <anchor moveWithCells="1">
                  <from>
                    <xdr:col>4</xdr:col>
                    <xdr:colOff>7620</xdr:colOff>
                    <xdr:row>16</xdr:row>
                    <xdr:rowOff>38100</xdr:rowOff>
                  </from>
                  <to>
                    <xdr:col>4</xdr:col>
                    <xdr:colOff>297180</xdr:colOff>
                    <xdr:row>16</xdr:row>
                    <xdr:rowOff>125730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30" r:id="rId17" name="Drop Down 14">
              <controlPr defaultSize="0" autoLine="0" autoPict="0">
                <anchor moveWithCells="1">
                  <from>
                    <xdr:col>4</xdr:col>
                    <xdr:colOff>7620</xdr:colOff>
                    <xdr:row>17</xdr:row>
                    <xdr:rowOff>38100</xdr:rowOff>
                  </from>
                  <to>
                    <xdr:col>4</xdr:col>
                    <xdr:colOff>297180</xdr:colOff>
                    <xdr:row>17</xdr:row>
                    <xdr:rowOff>125730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31" r:id="rId18" name="Drop Down 15">
              <controlPr defaultSize="0" autoLine="0" autoPict="0">
                <anchor moveWithCells="1">
                  <from>
                    <xdr:col>4</xdr:col>
                    <xdr:colOff>7620</xdr:colOff>
                    <xdr:row>18</xdr:row>
                    <xdr:rowOff>38100</xdr:rowOff>
                  </from>
                  <to>
                    <xdr:col>4</xdr:col>
                    <xdr:colOff>297180</xdr:colOff>
                    <xdr:row>18</xdr:row>
                    <xdr:rowOff>125730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21"/>
  <sheetViews>
    <sheetView showGridLines="0" workbookViewId="0">
      <selection activeCell="L8" sqref="L8"/>
    </sheetView>
  </sheetViews>
  <sheetFormatPr defaultRowHeight="12.3" x14ac:dyDescent="0.4"/>
  <cols>
    <col min="1" max="1" width="6.83203125" customWidth="1"/>
    <col min="3" max="3" width="12.27734375" customWidth="1"/>
    <col min="4" max="4" width="19.44140625" customWidth="1"/>
    <col min="5" max="5" width="12.27734375" customWidth="1"/>
    <col min="6" max="6" width="1.5546875" customWidth="1"/>
    <col min="7" max="7" width="14" customWidth="1"/>
    <col min="8" max="8" width="11.83203125" hidden="1" customWidth="1"/>
    <col min="9" max="9" width="0" hidden="1" customWidth="1"/>
    <col min="10" max="10" width="0" style="3" hidden="1" customWidth="1"/>
  </cols>
  <sheetData>
    <row r="1" spans="1:13" ht="39.75" customHeight="1" x14ac:dyDescent="0.4">
      <c r="A1" s="148"/>
      <c r="B1" s="248" t="s">
        <v>528</v>
      </c>
      <c r="C1" s="248"/>
      <c r="D1" s="248"/>
      <c r="E1" s="248"/>
      <c r="F1" s="248"/>
      <c r="G1" s="248"/>
      <c r="H1" s="248"/>
    </row>
    <row r="2" spans="1:13" ht="75" customHeight="1" x14ac:dyDescent="0.4">
      <c r="B2" s="270" t="s">
        <v>456</v>
      </c>
      <c r="C2" s="270"/>
      <c r="D2" s="270"/>
      <c r="E2" s="270"/>
      <c r="F2" s="270"/>
      <c r="G2" s="270"/>
      <c r="H2" s="270"/>
    </row>
    <row r="3" spans="1:13" ht="3.75" customHeight="1" x14ac:dyDescent="0.4"/>
    <row r="4" spans="1:13" s="2" customFormat="1" ht="17.25" customHeight="1" x14ac:dyDescent="0.4">
      <c r="C4" s="122" t="s">
        <v>209</v>
      </c>
      <c r="D4" s="126" t="s">
        <v>211</v>
      </c>
      <c r="E4" s="124" t="s">
        <v>210</v>
      </c>
      <c r="F4" s="149"/>
      <c r="G4" s="149"/>
      <c r="H4" s="149"/>
      <c r="I4" s="149"/>
      <c r="J4" s="188"/>
      <c r="K4" s="149"/>
      <c r="L4" s="149"/>
      <c r="M4" s="149"/>
    </row>
    <row r="5" spans="1:13" s="2" customFormat="1" ht="17.25" customHeight="1" x14ac:dyDescent="0.4">
      <c r="C5" s="159">
        <f>'Amor Consciencial Homem'!X5</f>
        <v>0</v>
      </c>
      <c r="D5" s="140" t="s">
        <v>442</v>
      </c>
      <c r="E5" s="159">
        <f>'Amor Consciencial Mulher'!X5</f>
        <v>0</v>
      </c>
      <c r="G5" s="66" t="str">
        <f>IF(J5=2, "Convergência", "")</f>
        <v/>
      </c>
      <c r="H5" s="36" t="str">
        <f t="shared" ref="H5:H19" si="0">IF(C5=100%, "1", "")</f>
        <v/>
      </c>
      <c r="I5" s="36" t="str">
        <f>IF(E5=100%, "1", "")</f>
        <v/>
      </c>
      <c r="J5" s="36">
        <f>COUNTIF(H5:I5, "1")</f>
        <v>0</v>
      </c>
    </row>
    <row r="6" spans="1:13" s="2" customFormat="1" ht="17.25" customHeight="1" x14ac:dyDescent="0.4">
      <c r="C6" s="159">
        <f>'Amor Consciencial Homem'!X6</f>
        <v>0</v>
      </c>
      <c r="D6" s="140" t="s">
        <v>443</v>
      </c>
      <c r="E6" s="159">
        <f>'Amor Consciencial Mulher'!X6</f>
        <v>0</v>
      </c>
      <c r="G6" s="66" t="str">
        <f t="shared" ref="G6:G19" si="1">IF(J6=2, "Convergência", "")</f>
        <v/>
      </c>
      <c r="H6" s="36" t="str">
        <f t="shared" si="0"/>
        <v/>
      </c>
      <c r="I6" s="36" t="str">
        <f t="shared" ref="I6:I19" si="2">IF(E6=100%, "1", "")</f>
        <v/>
      </c>
      <c r="J6" s="36">
        <f t="shared" ref="J6:J19" si="3">COUNTIF(H6:I6, "1")</f>
        <v>0</v>
      </c>
    </row>
    <row r="7" spans="1:13" s="2" customFormat="1" ht="17.25" customHeight="1" x14ac:dyDescent="0.4">
      <c r="C7" s="159">
        <f>'Amor Consciencial Homem'!X7</f>
        <v>0</v>
      </c>
      <c r="D7" s="140" t="s">
        <v>349</v>
      </c>
      <c r="E7" s="159">
        <f>'Amor Consciencial Mulher'!X7</f>
        <v>0</v>
      </c>
      <c r="G7" s="66" t="str">
        <f t="shared" si="1"/>
        <v/>
      </c>
      <c r="H7" s="36" t="str">
        <f t="shared" si="0"/>
        <v/>
      </c>
      <c r="I7" s="36" t="str">
        <f t="shared" si="2"/>
        <v/>
      </c>
      <c r="J7" s="36">
        <f t="shared" si="3"/>
        <v>0</v>
      </c>
    </row>
    <row r="8" spans="1:13" s="2" customFormat="1" ht="17.25" customHeight="1" x14ac:dyDescent="0.4">
      <c r="C8" s="159">
        <f>'Amor Consciencial Homem'!X8</f>
        <v>0</v>
      </c>
      <c r="D8" s="140" t="s">
        <v>444</v>
      </c>
      <c r="E8" s="159">
        <f>'Amor Consciencial Mulher'!X8</f>
        <v>0</v>
      </c>
      <c r="G8" s="66" t="str">
        <f t="shared" si="1"/>
        <v/>
      </c>
      <c r="H8" s="36" t="str">
        <f t="shared" si="0"/>
        <v/>
      </c>
      <c r="I8" s="36" t="str">
        <f t="shared" si="2"/>
        <v/>
      </c>
      <c r="J8" s="36">
        <f t="shared" si="3"/>
        <v>0</v>
      </c>
    </row>
    <row r="9" spans="1:13" s="2" customFormat="1" ht="17.25" customHeight="1" x14ac:dyDescent="0.4">
      <c r="C9" s="159">
        <f>'Amor Consciencial Homem'!X9</f>
        <v>0</v>
      </c>
      <c r="D9" s="140" t="s">
        <v>445</v>
      </c>
      <c r="E9" s="159">
        <f>'Amor Consciencial Mulher'!X9</f>
        <v>0</v>
      </c>
      <c r="G9" s="66" t="str">
        <f t="shared" si="1"/>
        <v/>
      </c>
      <c r="H9" s="36" t="str">
        <f t="shared" si="0"/>
        <v/>
      </c>
      <c r="I9" s="36" t="str">
        <f t="shared" si="2"/>
        <v/>
      </c>
      <c r="J9" s="36">
        <f t="shared" si="3"/>
        <v>0</v>
      </c>
    </row>
    <row r="10" spans="1:13" s="2" customFormat="1" ht="17.25" customHeight="1" x14ac:dyDescent="0.4">
      <c r="C10" s="159">
        <f>'Amor Consciencial Homem'!X10</f>
        <v>0</v>
      </c>
      <c r="D10" s="140" t="s">
        <v>446</v>
      </c>
      <c r="E10" s="159">
        <f>'Amor Consciencial Mulher'!X10</f>
        <v>0</v>
      </c>
      <c r="G10" s="66" t="str">
        <f t="shared" si="1"/>
        <v/>
      </c>
      <c r="H10" s="36" t="str">
        <f t="shared" si="0"/>
        <v/>
      </c>
      <c r="I10" s="36" t="str">
        <f t="shared" si="2"/>
        <v/>
      </c>
      <c r="J10" s="36">
        <f t="shared" si="3"/>
        <v>0</v>
      </c>
    </row>
    <row r="11" spans="1:13" s="2" customFormat="1" ht="17.25" customHeight="1" x14ac:dyDescent="0.4">
      <c r="C11" s="159">
        <f>'Amor Consciencial Homem'!X11</f>
        <v>0</v>
      </c>
      <c r="D11" s="140" t="s">
        <v>447</v>
      </c>
      <c r="E11" s="159">
        <f>'Amor Consciencial Mulher'!X11</f>
        <v>0</v>
      </c>
      <c r="G11" s="66" t="str">
        <f t="shared" si="1"/>
        <v/>
      </c>
      <c r="H11" s="36" t="str">
        <f t="shared" si="0"/>
        <v/>
      </c>
      <c r="I11" s="36" t="str">
        <f t="shared" si="2"/>
        <v/>
      </c>
      <c r="J11" s="36">
        <f t="shared" si="3"/>
        <v>0</v>
      </c>
    </row>
    <row r="12" spans="1:13" s="2" customFormat="1" ht="17.25" customHeight="1" x14ac:dyDescent="0.4">
      <c r="C12" s="159">
        <f>'Amor Consciencial Homem'!X12</f>
        <v>0</v>
      </c>
      <c r="D12" s="140" t="s">
        <v>448</v>
      </c>
      <c r="E12" s="159">
        <f>'Amor Consciencial Mulher'!X12</f>
        <v>0</v>
      </c>
      <c r="G12" s="66" t="str">
        <f t="shared" si="1"/>
        <v/>
      </c>
      <c r="H12" s="36" t="str">
        <f t="shared" si="0"/>
        <v/>
      </c>
      <c r="I12" s="36" t="str">
        <f t="shared" si="2"/>
        <v/>
      </c>
      <c r="J12" s="36">
        <f t="shared" si="3"/>
        <v>0</v>
      </c>
    </row>
    <row r="13" spans="1:13" s="2" customFormat="1" ht="17.25" customHeight="1" x14ac:dyDescent="0.4">
      <c r="C13" s="159">
        <f>'Amor Consciencial Homem'!X13</f>
        <v>0</v>
      </c>
      <c r="D13" s="140" t="s">
        <v>449</v>
      </c>
      <c r="E13" s="159">
        <f>'Amor Consciencial Mulher'!X13</f>
        <v>0</v>
      </c>
      <c r="G13" s="66" t="str">
        <f t="shared" si="1"/>
        <v/>
      </c>
      <c r="H13" s="36" t="str">
        <f t="shared" si="0"/>
        <v/>
      </c>
      <c r="I13" s="36" t="str">
        <f t="shared" si="2"/>
        <v/>
      </c>
      <c r="J13" s="36">
        <f t="shared" si="3"/>
        <v>0</v>
      </c>
      <c r="M13" s="66"/>
    </row>
    <row r="14" spans="1:13" s="2" customFormat="1" ht="17.25" customHeight="1" x14ac:dyDescent="0.4">
      <c r="C14" s="159">
        <f>'Amor Consciencial Homem'!X14</f>
        <v>0</v>
      </c>
      <c r="D14" s="140" t="s">
        <v>246</v>
      </c>
      <c r="E14" s="159">
        <f>'Amor Consciencial Mulher'!X14</f>
        <v>0</v>
      </c>
      <c r="G14" s="66" t="str">
        <f t="shared" si="1"/>
        <v/>
      </c>
      <c r="H14" s="36" t="str">
        <f t="shared" si="0"/>
        <v/>
      </c>
      <c r="I14" s="36" t="str">
        <f t="shared" si="2"/>
        <v/>
      </c>
      <c r="J14" s="36">
        <f t="shared" si="3"/>
        <v>0</v>
      </c>
    </row>
    <row r="15" spans="1:13" s="2" customFormat="1" ht="17.25" customHeight="1" x14ac:dyDescent="0.4">
      <c r="C15" s="159">
        <f>'Amor Consciencial Homem'!X15</f>
        <v>0</v>
      </c>
      <c r="D15" s="140" t="s">
        <v>450</v>
      </c>
      <c r="E15" s="159">
        <f>'Amor Consciencial Mulher'!X15</f>
        <v>0</v>
      </c>
      <c r="G15" s="66" t="str">
        <f t="shared" si="1"/>
        <v/>
      </c>
      <c r="H15" s="36" t="str">
        <f t="shared" si="0"/>
        <v/>
      </c>
      <c r="I15" s="36" t="str">
        <f t="shared" si="2"/>
        <v/>
      </c>
      <c r="J15" s="36">
        <f t="shared" si="3"/>
        <v>0</v>
      </c>
    </row>
    <row r="16" spans="1:13" s="2" customFormat="1" ht="17.25" customHeight="1" x14ac:dyDescent="0.4">
      <c r="C16" s="159">
        <f>'Amor Consciencial Homem'!X16</f>
        <v>0</v>
      </c>
      <c r="D16" s="140" t="s">
        <v>451</v>
      </c>
      <c r="E16" s="159">
        <f>'Amor Consciencial Mulher'!X16</f>
        <v>0</v>
      </c>
      <c r="G16" s="66" t="str">
        <f t="shared" si="1"/>
        <v/>
      </c>
      <c r="H16" s="36" t="str">
        <f t="shared" si="0"/>
        <v/>
      </c>
      <c r="I16" s="36" t="str">
        <f t="shared" si="2"/>
        <v/>
      </c>
      <c r="J16" s="36">
        <f t="shared" si="3"/>
        <v>0</v>
      </c>
    </row>
    <row r="17" spans="3:10" s="2" customFormat="1" ht="17.25" customHeight="1" x14ac:dyDescent="0.4">
      <c r="C17" s="159">
        <f>'Amor Consciencial Homem'!X17</f>
        <v>0</v>
      </c>
      <c r="D17" s="140" t="s">
        <v>452</v>
      </c>
      <c r="E17" s="159">
        <f>'Amor Consciencial Mulher'!X17</f>
        <v>0</v>
      </c>
      <c r="G17" s="66" t="str">
        <f t="shared" si="1"/>
        <v/>
      </c>
      <c r="H17" s="36" t="str">
        <f t="shared" si="0"/>
        <v/>
      </c>
      <c r="I17" s="36" t="str">
        <f t="shared" si="2"/>
        <v/>
      </c>
      <c r="J17" s="36">
        <f t="shared" si="3"/>
        <v>0</v>
      </c>
    </row>
    <row r="18" spans="3:10" s="2" customFormat="1" ht="17.25" customHeight="1" x14ac:dyDescent="0.4">
      <c r="C18" s="159">
        <f>'Amor Consciencial Homem'!X18</f>
        <v>0</v>
      </c>
      <c r="D18" s="140" t="s">
        <v>453</v>
      </c>
      <c r="E18" s="159">
        <f>'Amor Consciencial Mulher'!X18</f>
        <v>0</v>
      </c>
      <c r="G18" s="66" t="str">
        <f t="shared" si="1"/>
        <v/>
      </c>
      <c r="H18" s="36" t="str">
        <f t="shared" si="0"/>
        <v/>
      </c>
      <c r="I18" s="36" t="str">
        <f t="shared" si="2"/>
        <v/>
      </c>
      <c r="J18" s="36">
        <f t="shared" si="3"/>
        <v>0</v>
      </c>
    </row>
    <row r="19" spans="3:10" s="2" customFormat="1" ht="17.25" customHeight="1" x14ac:dyDescent="0.4">
      <c r="C19" s="159">
        <f>'Amor Consciencial Homem'!X19</f>
        <v>0</v>
      </c>
      <c r="D19" s="140" t="s">
        <v>454</v>
      </c>
      <c r="E19" s="159">
        <f>'Amor Consciencial Mulher'!X19</f>
        <v>0</v>
      </c>
      <c r="G19" s="66" t="str">
        <f t="shared" si="1"/>
        <v/>
      </c>
      <c r="H19" s="36" t="str">
        <f t="shared" si="0"/>
        <v/>
      </c>
      <c r="I19" s="36" t="str">
        <f t="shared" si="2"/>
        <v/>
      </c>
      <c r="J19" s="36">
        <f t="shared" si="3"/>
        <v>0</v>
      </c>
    </row>
    <row r="20" spans="3:10" s="2" customFormat="1" ht="5.25" customHeight="1" x14ac:dyDescent="0.4">
      <c r="H20" s="36"/>
      <c r="I20" s="36"/>
      <c r="J20" s="36"/>
    </row>
    <row r="21" spans="3:10" s="2" customFormat="1" ht="17.25" customHeight="1" x14ac:dyDescent="0.4">
      <c r="C21" s="160">
        <f>AVERAGE(C5:C19)</f>
        <v>0</v>
      </c>
      <c r="D21" s="161" t="s">
        <v>360</v>
      </c>
      <c r="E21" s="160">
        <f>AVERAGE(E5:E19)</f>
        <v>0</v>
      </c>
      <c r="H21" s="36"/>
      <c r="I21" s="36"/>
      <c r="J21" s="36"/>
    </row>
  </sheetData>
  <sheetProtection password="CF80" sheet="1" objects="1" scenarios="1"/>
  <mergeCells count="2">
    <mergeCell ref="B1:H1"/>
    <mergeCell ref="B2:H2"/>
  </mergeCells>
  <conditionalFormatting sqref="C5:C19 E5:E19">
    <cfRule type="dataBar" priority="1">
      <dataBar>
        <cfvo type="min"/>
        <cfvo type="max"/>
        <color theme="8" tint="0.39997558519241921"/>
      </dataBar>
    </cfRule>
  </conditionalFormatting>
  <conditionalFormatting sqref="G5:G19">
    <cfRule type="cellIs" dxfId="2" priority="5" operator="equal">
      <formula>"CONVERGÊNCIA"</formula>
    </cfRule>
    <cfRule type="cellIs" dxfId="1" priority="6" operator="equal">
      <formula>"CONVERGÊNCIA"</formula>
    </cfRule>
  </conditionalFormatting>
  <conditionalFormatting sqref="M13">
    <cfRule type="cellIs" dxfId="0" priority="3" operator="equal">
      <formula>1</formula>
    </cfRule>
  </conditionalFormatting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5"/>
  <sheetViews>
    <sheetView showGridLines="0" workbookViewId="0">
      <pane ySplit="1" topLeftCell="A2" activePane="bottomLeft" state="frozen"/>
      <selection pane="bottomLeft" activeCell="B11" sqref="B11:B12"/>
    </sheetView>
  </sheetViews>
  <sheetFormatPr defaultRowHeight="12.3" x14ac:dyDescent="0.4"/>
  <cols>
    <col min="1" max="1" width="66.83203125" customWidth="1"/>
    <col min="2" max="2" width="66.71875" customWidth="1"/>
  </cols>
  <sheetData>
    <row r="1" spans="1:3" ht="17.7" x14ac:dyDescent="0.6">
      <c r="A1" s="231" t="s">
        <v>467</v>
      </c>
      <c r="B1" s="231"/>
    </row>
    <row r="2" spans="1:3" ht="6" customHeight="1" x14ac:dyDescent="0.4"/>
    <row r="3" spans="1:3" ht="36" customHeight="1" x14ac:dyDescent="0.4">
      <c r="A3" s="264" t="s">
        <v>457</v>
      </c>
      <c r="B3" s="264"/>
    </row>
    <row r="4" spans="1:3" ht="6" customHeight="1" x14ac:dyDescent="0.4"/>
    <row r="5" spans="1:3" x14ac:dyDescent="0.4">
      <c r="A5" s="104" t="s">
        <v>460</v>
      </c>
    </row>
    <row r="6" spans="1:3" s="104" customFormat="1" ht="14.1" x14ac:dyDescent="0.5">
      <c r="A6" s="163" t="s">
        <v>458</v>
      </c>
      <c r="B6" s="164" t="s">
        <v>459</v>
      </c>
    </row>
    <row r="7" spans="1:3" ht="12.6" thickBot="1" x14ac:dyDescent="0.45">
      <c r="A7" s="204"/>
      <c r="B7" s="204"/>
    </row>
    <row r="8" spans="1:3" ht="18" customHeight="1" x14ac:dyDescent="0.4">
      <c r="A8" s="104" t="s">
        <v>461</v>
      </c>
    </row>
    <row r="9" spans="1:3" s="104" customFormat="1" ht="14.1" x14ac:dyDescent="0.5">
      <c r="A9" s="163" t="s">
        <v>458</v>
      </c>
      <c r="B9" s="164" t="s">
        <v>459</v>
      </c>
    </row>
    <row r="10" spans="1:3" ht="12.6" thickBot="1" x14ac:dyDescent="0.45">
      <c r="A10" s="204"/>
      <c r="B10" s="204"/>
    </row>
    <row r="11" spans="1:3" ht="18" customHeight="1" x14ac:dyDescent="0.4">
      <c r="A11" s="104" t="s">
        <v>462</v>
      </c>
      <c r="C11" s="3"/>
    </row>
    <row r="12" spans="1:3" s="104" customFormat="1" ht="14.1" x14ac:dyDescent="0.5">
      <c r="A12" s="163" t="s">
        <v>458</v>
      </c>
      <c r="B12" s="164" t="s">
        <v>459</v>
      </c>
    </row>
    <row r="13" spans="1:3" ht="12.6" thickBot="1" x14ac:dyDescent="0.45">
      <c r="A13" s="204"/>
      <c r="B13" s="204"/>
    </row>
    <row r="14" spans="1:3" ht="18" customHeight="1" x14ac:dyDescent="0.4">
      <c r="A14" s="104" t="s">
        <v>463</v>
      </c>
    </row>
    <row r="15" spans="1:3" s="104" customFormat="1" ht="14.1" x14ac:dyDescent="0.5">
      <c r="A15" s="163" t="s">
        <v>458</v>
      </c>
      <c r="B15" s="164" t="s">
        <v>459</v>
      </c>
    </row>
    <row r="16" spans="1:3" ht="12.6" thickBot="1" x14ac:dyDescent="0.45">
      <c r="A16" s="204"/>
      <c r="B16" s="204"/>
    </row>
    <row r="17" spans="1:2" ht="18" customHeight="1" x14ac:dyDescent="0.4">
      <c r="A17" s="104" t="s">
        <v>464</v>
      </c>
    </row>
    <row r="18" spans="1:2" s="104" customFormat="1" ht="14.1" x14ac:dyDescent="0.5">
      <c r="A18" s="163" t="s">
        <v>458</v>
      </c>
      <c r="B18" s="164" t="s">
        <v>459</v>
      </c>
    </row>
    <row r="19" spans="1:2" ht="12.6" thickBot="1" x14ac:dyDescent="0.45">
      <c r="A19" s="204"/>
      <c r="B19" s="204"/>
    </row>
    <row r="20" spans="1:2" ht="18" customHeight="1" x14ac:dyDescent="0.4">
      <c r="A20" s="104" t="s">
        <v>465</v>
      </c>
    </row>
    <row r="21" spans="1:2" s="104" customFormat="1" ht="14.1" x14ac:dyDescent="0.5">
      <c r="A21" s="163" t="s">
        <v>458</v>
      </c>
      <c r="B21" s="164" t="s">
        <v>459</v>
      </c>
    </row>
    <row r="22" spans="1:2" ht="12.6" thickBot="1" x14ac:dyDescent="0.45">
      <c r="A22" s="204"/>
      <c r="B22" s="204"/>
    </row>
    <row r="23" spans="1:2" ht="18" customHeight="1" x14ac:dyDescent="0.4">
      <c r="A23" s="104" t="s">
        <v>466</v>
      </c>
    </row>
    <row r="24" spans="1:2" s="104" customFormat="1" ht="14.1" x14ac:dyDescent="0.5">
      <c r="A24" s="163" t="s">
        <v>458</v>
      </c>
      <c r="B24" s="164" t="s">
        <v>459</v>
      </c>
    </row>
    <row r="25" spans="1:2" ht="12.6" thickBot="1" x14ac:dyDescent="0.45">
      <c r="A25" s="204"/>
      <c r="B25" s="204"/>
    </row>
  </sheetData>
  <sheetProtection password="CFC0" sheet="1" objects="1" scenarios="1"/>
  <mergeCells count="2">
    <mergeCell ref="A3:B3"/>
    <mergeCell ref="A1:B1"/>
  </mergeCells>
  <pageMargins left="0.511811024" right="0.511811024" top="0.78740157499999996" bottom="0.78740157499999996" header="0.31496062000000002" footer="0.31496062000000002"/>
  <pageSetup paperSize="9" orientation="portrait" verticalDpi="0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19"/>
  <sheetViews>
    <sheetView showGridLines="0" tabSelected="1" workbookViewId="0">
      <selection activeCell="A9" sqref="A9"/>
    </sheetView>
  </sheetViews>
  <sheetFormatPr defaultRowHeight="12.3" x14ac:dyDescent="0.4"/>
  <cols>
    <col min="1" max="1" width="138.1640625" style="113" customWidth="1"/>
  </cols>
  <sheetData>
    <row r="1" spans="1:15" ht="17.7" x14ac:dyDescent="0.4">
      <c r="A1" s="208" t="s">
        <v>544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</row>
    <row r="2" spans="1:15" ht="6.75" customHeight="1" x14ac:dyDescent="0.6">
      <c r="A2" s="208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</row>
    <row r="3" spans="1:15" ht="18.75" customHeight="1" x14ac:dyDescent="0.4">
      <c r="A3" s="213" t="s">
        <v>529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</row>
    <row r="4" spans="1:15" ht="16.5" customHeight="1" x14ac:dyDescent="0.6">
      <c r="A4" s="113" t="s">
        <v>468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</row>
    <row r="5" spans="1:15" ht="21.75" customHeight="1" x14ac:dyDescent="0.6">
      <c r="A5" s="214" t="s">
        <v>530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</row>
    <row r="6" spans="1:15" ht="42" customHeight="1" x14ac:dyDescent="0.6">
      <c r="A6" s="215" t="s">
        <v>541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</row>
    <row r="7" spans="1:15" ht="18.75" customHeight="1" x14ac:dyDescent="0.4">
      <c r="A7" s="209" t="s">
        <v>539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</row>
    <row r="8" spans="1:15" ht="30" customHeight="1" x14ac:dyDescent="0.4">
      <c r="A8" s="214" t="s">
        <v>540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</row>
    <row r="9" spans="1:15" ht="43.5" customHeight="1" x14ac:dyDescent="0.4">
      <c r="A9" s="215" t="s">
        <v>541</v>
      </c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</row>
    <row r="10" spans="1:15" ht="22.5" customHeight="1" x14ac:dyDescent="0.4">
      <c r="A10" s="209" t="s">
        <v>542</v>
      </c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</row>
    <row r="11" spans="1:15" ht="18" customHeight="1" x14ac:dyDescent="0.4">
      <c r="A11" s="214" t="s">
        <v>543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</row>
    <row r="12" spans="1:15" ht="43.5" customHeight="1" x14ac:dyDescent="0.4">
      <c r="A12" s="215" t="s">
        <v>541</v>
      </c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</row>
    <row r="13" spans="1:15" ht="33.75" customHeight="1" x14ac:dyDescent="0.4">
      <c r="A13" s="214" t="s">
        <v>473</v>
      </c>
      <c r="B13" s="212"/>
      <c r="C13" s="212"/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212"/>
      <c r="O13" s="212"/>
    </row>
    <row r="14" spans="1:15" ht="61.5" customHeight="1" x14ac:dyDescent="0.4">
      <c r="A14" s="215" t="s">
        <v>541</v>
      </c>
      <c r="B14" s="212"/>
      <c r="C14" s="212"/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</row>
    <row r="15" spans="1:15" ht="9.75" customHeight="1" x14ac:dyDescent="0.4"/>
    <row r="16" spans="1:15" ht="22.2" x14ac:dyDescent="0.4">
      <c r="A16" s="211" t="s">
        <v>469</v>
      </c>
      <c r="B16" s="210"/>
      <c r="C16" s="210"/>
      <c r="D16" s="210"/>
      <c r="E16" s="210"/>
      <c r="F16" s="210"/>
      <c r="G16" s="210"/>
      <c r="H16" s="210"/>
      <c r="L16" s="205"/>
      <c r="M16" s="205"/>
      <c r="N16" s="205"/>
      <c r="O16" s="205"/>
    </row>
    <row r="17" spans="1:15" ht="22.2" x14ac:dyDescent="0.4">
      <c r="A17" s="211" t="s">
        <v>470</v>
      </c>
      <c r="B17" s="210"/>
      <c r="C17" s="210"/>
      <c r="D17" s="210"/>
      <c r="E17" s="210"/>
      <c r="F17" s="210"/>
      <c r="G17" s="210"/>
      <c r="H17" s="210"/>
      <c r="L17" s="205"/>
      <c r="M17" s="205"/>
      <c r="N17" s="205"/>
      <c r="O17" s="205"/>
    </row>
    <row r="18" spans="1:15" ht="22.2" x14ac:dyDescent="0.4">
      <c r="A18" s="211" t="s">
        <v>471</v>
      </c>
      <c r="B18" s="210"/>
      <c r="C18" s="210"/>
      <c r="D18" s="210"/>
      <c r="E18" s="210"/>
      <c r="F18" s="210"/>
      <c r="G18" s="210"/>
      <c r="H18" s="210"/>
      <c r="L18" s="205"/>
      <c r="M18" s="205"/>
      <c r="N18" s="205"/>
      <c r="O18" s="205"/>
    </row>
    <row r="19" spans="1:15" ht="22.2" x14ac:dyDescent="0.4">
      <c r="A19" s="211" t="s">
        <v>472</v>
      </c>
      <c r="B19" s="210"/>
      <c r="C19" s="210"/>
      <c r="D19" s="210"/>
      <c r="E19" s="210"/>
      <c r="F19" s="210"/>
      <c r="G19" s="210"/>
      <c r="H19" s="210"/>
      <c r="L19" s="205"/>
      <c r="M19" s="205"/>
      <c r="N19" s="205"/>
      <c r="O19" s="205"/>
    </row>
  </sheetData>
  <sheetProtection password="CF80" sheet="1" objects="1" scenarios="1"/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9"/>
  <sheetViews>
    <sheetView showGridLines="0" workbookViewId="0">
      <selection activeCell="A14" sqref="A14"/>
    </sheetView>
  </sheetViews>
  <sheetFormatPr defaultRowHeight="12.3" x14ac:dyDescent="0.4"/>
  <cols>
    <col min="1" max="1" width="138.1640625" style="113" customWidth="1"/>
  </cols>
  <sheetData>
    <row r="1" spans="1:15" ht="17.7" x14ac:dyDescent="0.4">
      <c r="A1" s="208" t="s">
        <v>545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</row>
    <row r="2" spans="1:15" ht="6.75" customHeight="1" x14ac:dyDescent="0.6">
      <c r="A2" s="208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</row>
    <row r="3" spans="1:15" ht="18.75" customHeight="1" x14ac:dyDescent="0.4">
      <c r="A3" s="213" t="s">
        <v>529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</row>
    <row r="4" spans="1:15" ht="16.5" customHeight="1" x14ac:dyDescent="0.6">
      <c r="A4" s="113" t="s">
        <v>468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</row>
    <row r="5" spans="1:15" ht="21.75" customHeight="1" x14ac:dyDescent="0.6">
      <c r="A5" s="214" t="s">
        <v>530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</row>
    <row r="6" spans="1:15" ht="42" customHeight="1" x14ac:dyDescent="0.6">
      <c r="A6" s="215" t="s">
        <v>541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</row>
    <row r="7" spans="1:15" ht="18.75" customHeight="1" x14ac:dyDescent="0.4">
      <c r="A7" s="209" t="s">
        <v>539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</row>
    <row r="8" spans="1:15" ht="30" customHeight="1" x14ac:dyDescent="0.4">
      <c r="A8" s="214" t="s">
        <v>540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</row>
    <row r="9" spans="1:15" ht="43.5" customHeight="1" x14ac:dyDescent="0.4">
      <c r="A9" s="215" t="s">
        <v>541</v>
      </c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</row>
    <row r="10" spans="1:15" ht="22.5" customHeight="1" x14ac:dyDescent="0.4">
      <c r="A10" s="209" t="s">
        <v>542</v>
      </c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</row>
    <row r="11" spans="1:15" ht="18" customHeight="1" x14ac:dyDescent="0.4">
      <c r="A11" s="214" t="s">
        <v>543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</row>
    <row r="12" spans="1:15" ht="43.5" customHeight="1" x14ac:dyDescent="0.4">
      <c r="A12" s="215" t="s">
        <v>541</v>
      </c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</row>
    <row r="13" spans="1:15" ht="33.75" customHeight="1" x14ac:dyDescent="0.4">
      <c r="A13" s="214" t="s">
        <v>473</v>
      </c>
      <c r="B13" s="212"/>
      <c r="C13" s="212"/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212"/>
      <c r="O13" s="212"/>
    </row>
    <row r="14" spans="1:15" ht="61.5" customHeight="1" x14ac:dyDescent="0.4">
      <c r="A14" s="215" t="s">
        <v>541</v>
      </c>
      <c r="B14" s="212"/>
      <c r="C14" s="212"/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</row>
    <row r="15" spans="1:15" ht="9.75" customHeight="1" x14ac:dyDescent="0.4"/>
    <row r="16" spans="1:15" ht="22.2" x14ac:dyDescent="0.4">
      <c r="A16" s="211" t="s">
        <v>469</v>
      </c>
      <c r="B16" s="210"/>
      <c r="C16" s="210"/>
      <c r="D16" s="210"/>
      <c r="E16" s="210"/>
      <c r="F16" s="210"/>
      <c r="G16" s="210"/>
      <c r="H16" s="210"/>
      <c r="L16" s="205"/>
      <c r="M16" s="205"/>
      <c r="N16" s="205"/>
      <c r="O16" s="205"/>
    </row>
    <row r="17" spans="1:15" ht="22.2" x14ac:dyDescent="0.4">
      <c r="A17" s="211" t="s">
        <v>470</v>
      </c>
      <c r="B17" s="210"/>
      <c r="C17" s="210"/>
      <c r="D17" s="210"/>
      <c r="E17" s="210"/>
      <c r="F17" s="210"/>
      <c r="G17" s="210"/>
      <c r="H17" s="210"/>
      <c r="L17" s="205"/>
      <c r="M17" s="205"/>
      <c r="N17" s="205"/>
      <c r="O17" s="205"/>
    </row>
    <row r="18" spans="1:15" ht="22.2" x14ac:dyDescent="0.4">
      <c r="A18" s="211" t="s">
        <v>471</v>
      </c>
      <c r="B18" s="210"/>
      <c r="C18" s="210"/>
      <c r="D18" s="210"/>
      <c r="E18" s="210"/>
      <c r="F18" s="210"/>
      <c r="G18" s="210"/>
      <c r="H18" s="210"/>
      <c r="L18" s="205"/>
      <c r="M18" s="205"/>
      <c r="N18" s="205"/>
      <c r="O18" s="205"/>
    </row>
    <row r="19" spans="1:15" ht="22.2" x14ac:dyDescent="0.4">
      <c r="A19" s="211" t="s">
        <v>472</v>
      </c>
      <c r="B19" s="210"/>
      <c r="C19" s="210"/>
      <c r="D19" s="210"/>
      <c r="E19" s="210"/>
      <c r="F19" s="210"/>
      <c r="G19" s="210"/>
      <c r="H19" s="210"/>
      <c r="L19" s="205"/>
      <c r="M19" s="205"/>
      <c r="N19" s="205"/>
      <c r="O19" s="205"/>
    </row>
  </sheetData>
  <sheetProtection password="CF80" sheet="1" objects="1" scenarios="1"/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F3344-0DE4-44B2-9BEC-50E9BB4C299A}">
  <dimension ref="A1"/>
  <sheetViews>
    <sheetView workbookViewId="0"/>
  </sheetViews>
  <sheetFormatPr defaultRowHeight="12.3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Orientações</vt:lpstr>
      <vt:lpstr>5 Variáveis Homem</vt:lpstr>
      <vt:lpstr>5 Variáveis Mulher</vt:lpstr>
      <vt:lpstr>Comparativo 5 Variáveis</vt:lpstr>
      <vt:lpstr>50 Categorias Homem</vt:lpstr>
      <vt:lpstr>50 Categorias Mulher</vt:lpstr>
      <vt:lpstr>Comparativo 50 Categorias</vt:lpstr>
      <vt:lpstr>Questionologia</vt:lpstr>
      <vt:lpstr>Autenticidade Afetiva Homem</vt:lpstr>
      <vt:lpstr>Autenticidade Afetiva Mulher</vt:lpstr>
      <vt:lpstr>Comparativo Autent. Afetiva</vt:lpstr>
      <vt:lpstr>Dupla é</vt:lpstr>
      <vt:lpstr>15 Ideias Básicas</vt:lpstr>
      <vt:lpstr>Pontecialidades</vt:lpstr>
      <vt:lpstr>Amor Consciencial Homem</vt:lpstr>
      <vt:lpstr>Amor Consciencial Mulher</vt:lpstr>
      <vt:lpstr>Comparativo Amor Consciencial</vt:lpstr>
      <vt:lpstr>Nível de Consciencialidade</vt:lpstr>
      <vt:lpstr>Questionologia 2 Homem</vt:lpstr>
      <vt:lpstr>Questionologia 2 Mulher</vt:lpstr>
      <vt:lpstr>Sheet1</vt:lpstr>
    </vt:vector>
  </TitlesOfParts>
  <Company>CYBERMAIS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</dc:creator>
  <cp:lastModifiedBy>Eduardo de Santana Medeiros</cp:lastModifiedBy>
  <cp:lastPrinted>2012-07-06T19:36:18Z</cp:lastPrinted>
  <dcterms:created xsi:type="dcterms:W3CDTF">2007-08-12T23:50:51Z</dcterms:created>
  <dcterms:modified xsi:type="dcterms:W3CDTF">2026-02-03T15:35:44Z</dcterms:modified>
</cp:coreProperties>
</file>